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P:\_[EM_].[00].[000].[OT ].Template\[1].[Análisis y Diseño]\"/>
    </mc:Choice>
  </mc:AlternateContent>
  <bookViews>
    <workbookView xWindow="-15" yWindow="5775" windowWidth="15480" windowHeight="2100" activeTab="1"/>
  </bookViews>
  <sheets>
    <sheet name="Estimación" sheetId="7" r:id="rId1"/>
    <sheet name="Programacion" sheetId="5" r:id="rId2"/>
    <sheet name="Testing" sheetId="12" r:id="rId3"/>
    <sheet name="Detalle Testing" sheetId="11" r:id="rId4"/>
    <sheet name="Referencias" sheetId="1" r:id="rId5"/>
  </sheets>
  <definedNames>
    <definedName name="codigo">Referencias!$C$4:$C$29</definedName>
    <definedName name="complejidad">Referencias!$B$54:$F$54</definedName>
    <definedName name="ListBoxReq">#REF!</definedName>
    <definedName name="Req_1">#REF!</definedName>
  </definedNames>
  <calcPr calcId="162913"/>
</workbook>
</file>

<file path=xl/calcChain.xml><?xml version="1.0" encoding="utf-8"?>
<calcChain xmlns="http://schemas.openxmlformats.org/spreadsheetml/2006/main">
  <c r="I17" i="5" l="1"/>
  <c r="I18" i="5"/>
  <c r="I19" i="5"/>
  <c r="I20" i="5"/>
  <c r="I21" i="5"/>
  <c r="P19" i="5" l="1"/>
  <c r="P20" i="5"/>
  <c r="P21" i="5"/>
  <c r="Q21" i="5" l="1"/>
  <c r="R21" i="5"/>
  <c r="R20" i="5"/>
  <c r="Q20" i="5"/>
  <c r="U20" i="5" s="1"/>
  <c r="R19" i="5"/>
  <c r="Q19" i="5"/>
  <c r="S21" i="5"/>
  <c r="T21" i="5" s="1"/>
  <c r="S19" i="5"/>
  <c r="T19" i="5" s="1"/>
  <c r="S20" i="5"/>
  <c r="T20" i="5" s="1"/>
  <c r="P18" i="5"/>
  <c r="U19" i="5" l="1"/>
  <c r="U21" i="5"/>
  <c r="S18" i="5"/>
  <c r="T18" i="5" s="1"/>
  <c r="Q18" i="5"/>
  <c r="R18" i="5"/>
  <c r="U18" i="5" l="1"/>
  <c r="J17" i="5"/>
  <c r="G17" i="5"/>
  <c r="E17" i="5"/>
  <c r="J18" i="5"/>
  <c r="G18" i="5"/>
  <c r="E18" i="5"/>
  <c r="J19" i="5"/>
  <c r="G19" i="5"/>
  <c r="E19" i="5"/>
  <c r="P17" i="5" l="1"/>
  <c r="P23" i="5" l="1"/>
  <c r="E21" i="7" s="1"/>
  <c r="Q17" i="5"/>
  <c r="Q23" i="5" s="1"/>
  <c r="E20" i="7" s="1"/>
  <c r="R17" i="5"/>
  <c r="S17" i="5"/>
  <c r="T17" i="5" s="1"/>
  <c r="G12" i="5"/>
  <c r="R23" i="5" l="1"/>
  <c r="E19" i="7" s="1"/>
  <c r="F19" i="7" s="1"/>
  <c r="T23" i="5"/>
  <c r="E23" i="7" s="1"/>
  <c r="S23" i="5"/>
  <c r="E24" i="7" s="1"/>
  <c r="U24" i="12"/>
  <c r="U26" i="12" s="1"/>
  <c r="T24" i="12"/>
  <c r="T26" i="12" s="1"/>
  <c r="S24" i="12"/>
  <c r="S26" i="12" s="1"/>
  <c r="R24" i="12"/>
  <c r="R26" i="12" s="1"/>
  <c r="F23" i="7" l="1"/>
  <c r="U17" i="5"/>
  <c r="U23" i="5" s="1"/>
  <c r="R27" i="12"/>
  <c r="U7" i="11"/>
  <c r="U9" i="11" s="1"/>
  <c r="T7" i="11"/>
  <c r="T9" i="11" s="1"/>
  <c r="S7" i="11"/>
  <c r="S9" i="11" s="1"/>
  <c r="R7" i="11"/>
  <c r="R9" i="11" s="1"/>
  <c r="S21" i="11"/>
  <c r="U19" i="11"/>
  <c r="U21" i="11" s="1"/>
  <c r="T19" i="11"/>
  <c r="T21" i="11" s="1"/>
  <c r="R19" i="11"/>
  <c r="R21" i="11" s="1"/>
  <c r="D7" i="12"/>
  <c r="D8" i="12"/>
  <c r="R10" i="11" l="1"/>
  <c r="R22" i="11"/>
  <c r="U115" i="11" l="1"/>
  <c r="U117" i="11" s="1"/>
  <c r="T115" i="11"/>
  <c r="T117" i="11" s="1"/>
  <c r="S115" i="11"/>
  <c r="S117" i="11" s="1"/>
  <c r="R115" i="11"/>
  <c r="R117" i="11" s="1"/>
  <c r="U91" i="11"/>
  <c r="U93" i="11" s="1"/>
  <c r="T91" i="11"/>
  <c r="T93" i="11" s="1"/>
  <c r="S91" i="11"/>
  <c r="S93" i="11" s="1"/>
  <c r="R91" i="11"/>
  <c r="R93" i="11" s="1"/>
  <c r="D88" i="11"/>
  <c r="N89" i="11" s="1"/>
  <c r="U55" i="11"/>
  <c r="U57" i="11" s="1"/>
  <c r="T55" i="11"/>
  <c r="T57" i="11" s="1"/>
  <c r="S55" i="11"/>
  <c r="S57" i="11" s="1"/>
  <c r="R55" i="11"/>
  <c r="R57" i="11" s="1"/>
  <c r="R94" i="11" l="1"/>
  <c r="K89" i="11"/>
  <c r="M91" i="11" s="1"/>
  <c r="M93" i="11" s="1"/>
  <c r="R118" i="11"/>
  <c r="P91" i="11"/>
  <c r="P93" i="11" s="1"/>
  <c r="O91" i="11"/>
  <c r="O93" i="11" s="1"/>
  <c r="N91" i="11"/>
  <c r="N93" i="11" s="1"/>
  <c r="E89" i="11"/>
  <c r="R58" i="11"/>
  <c r="U103" i="11"/>
  <c r="U105" i="11" s="1"/>
  <c r="T103" i="11"/>
  <c r="T105" i="11" s="1"/>
  <c r="S103" i="11"/>
  <c r="S105" i="11" s="1"/>
  <c r="R103" i="11"/>
  <c r="R105" i="11" s="1"/>
  <c r="U79" i="11"/>
  <c r="U81" i="11" s="1"/>
  <c r="T79" i="11"/>
  <c r="T81" i="11" s="1"/>
  <c r="S79" i="11"/>
  <c r="S81" i="11" s="1"/>
  <c r="R79" i="11"/>
  <c r="R81" i="11" s="1"/>
  <c r="U67" i="11"/>
  <c r="U69" i="11" s="1"/>
  <c r="T67" i="11"/>
  <c r="T69" i="11" s="1"/>
  <c r="S67" i="11"/>
  <c r="S69" i="11" s="1"/>
  <c r="R67" i="11"/>
  <c r="R69" i="11" s="1"/>
  <c r="D64" i="11"/>
  <c r="N65" i="11" s="1"/>
  <c r="U43" i="11"/>
  <c r="U45" i="11" s="1"/>
  <c r="T43" i="11"/>
  <c r="T45" i="11" s="1"/>
  <c r="S43" i="11"/>
  <c r="S45" i="11" s="1"/>
  <c r="R43" i="11"/>
  <c r="R45" i="11" s="1"/>
  <c r="R46" i="11" l="1"/>
  <c r="R70" i="11"/>
  <c r="R82" i="11"/>
  <c r="R106" i="11"/>
  <c r="K91" i="11"/>
  <c r="K93" i="11" s="1"/>
  <c r="L91" i="11"/>
  <c r="L93" i="11" s="1"/>
  <c r="K65" i="11"/>
  <c r="M67" i="11" s="1"/>
  <c r="M69" i="11" s="1"/>
  <c r="N94" i="11"/>
  <c r="I91" i="11"/>
  <c r="I93" i="11" s="1"/>
  <c r="E91" i="11"/>
  <c r="E93" i="11" s="1"/>
  <c r="H91" i="11"/>
  <c r="H93" i="11" s="1"/>
  <c r="G91" i="11"/>
  <c r="G93" i="11" s="1"/>
  <c r="J91" i="11"/>
  <c r="J93" i="11" s="1"/>
  <c r="F91" i="11"/>
  <c r="F93" i="11" s="1"/>
  <c r="P67" i="11"/>
  <c r="P69" i="11" s="1"/>
  <c r="N67" i="11"/>
  <c r="N69" i="11" s="1"/>
  <c r="O67" i="11"/>
  <c r="O69" i="11" s="1"/>
  <c r="E65" i="11"/>
  <c r="K94" i="11" l="1"/>
  <c r="K67" i="11"/>
  <c r="K69" i="11" s="1"/>
  <c r="L67" i="11"/>
  <c r="L69" i="11" s="1"/>
  <c r="E94" i="11"/>
  <c r="N70" i="11"/>
  <c r="I67" i="11"/>
  <c r="I69" i="11" s="1"/>
  <c r="E67" i="11"/>
  <c r="E69" i="11" s="1"/>
  <c r="H67" i="11"/>
  <c r="H69" i="11" s="1"/>
  <c r="J67" i="11"/>
  <c r="J69" i="11" s="1"/>
  <c r="F67" i="11"/>
  <c r="F69" i="11" s="1"/>
  <c r="G67" i="11"/>
  <c r="G69" i="11" s="1"/>
  <c r="E96" i="11" l="1"/>
  <c r="K70" i="11"/>
  <c r="E70" i="11"/>
  <c r="A113" i="11"/>
  <c r="A101" i="11"/>
  <c r="A89" i="11"/>
  <c r="A77" i="11"/>
  <c r="A65" i="11"/>
  <c r="A53" i="11"/>
  <c r="A41" i="11"/>
  <c r="A29" i="11"/>
  <c r="A17" i="11"/>
  <c r="A5" i="11"/>
  <c r="E72" i="11" l="1"/>
  <c r="U31" i="11"/>
  <c r="U33" i="11" s="1"/>
  <c r="T31" i="11"/>
  <c r="T33" i="11" s="1"/>
  <c r="S31" i="11"/>
  <c r="S33" i="11" s="1"/>
  <c r="R31" i="11"/>
  <c r="R33" i="11" s="1"/>
  <c r="R34" i="11" l="1"/>
  <c r="D16" i="12"/>
  <c r="D15" i="12"/>
  <c r="D14" i="12"/>
  <c r="D13" i="12"/>
  <c r="D12" i="12"/>
  <c r="D11" i="12"/>
  <c r="D10" i="12"/>
  <c r="D9" i="12"/>
  <c r="C3" i="12"/>
  <c r="C2" i="12"/>
  <c r="H10" i="5" l="1"/>
  <c r="E25" i="7" l="1"/>
  <c r="E22" i="7"/>
  <c r="J21" i="5"/>
  <c r="G21" i="5"/>
  <c r="E21" i="5"/>
  <c r="J20" i="5"/>
  <c r="G20" i="5"/>
  <c r="E20" i="5"/>
  <c r="C3" i="5"/>
  <c r="C2" i="5"/>
  <c r="D52" i="11" l="1"/>
  <c r="N53" i="11" s="1"/>
  <c r="D112" i="11"/>
  <c r="N113" i="11" s="1"/>
  <c r="D28" i="11"/>
  <c r="E29" i="11" s="1"/>
  <c r="H11" i="5"/>
  <c r="K53" i="11"/>
  <c r="H9" i="5"/>
  <c r="D40" i="11"/>
  <c r="E26" i="7"/>
  <c r="C28" i="7" s="1"/>
  <c r="E53" i="11" l="1"/>
  <c r="I55" i="11" s="1"/>
  <c r="I57" i="11" s="1"/>
  <c r="E113" i="11"/>
  <c r="H115" i="11" s="1"/>
  <c r="H117" i="11" s="1"/>
  <c r="K113" i="11"/>
  <c r="M115" i="11" s="1"/>
  <c r="M117" i="11" s="1"/>
  <c r="N29" i="11"/>
  <c r="P31" i="11" s="1"/>
  <c r="P33" i="11" s="1"/>
  <c r="K29" i="11"/>
  <c r="K31" i="11" s="1"/>
  <c r="K33" i="11" s="1"/>
  <c r="F115" i="11"/>
  <c r="F117" i="11" s="1"/>
  <c r="I115" i="11"/>
  <c r="I117" i="11" s="1"/>
  <c r="G115" i="11"/>
  <c r="G117" i="11" s="1"/>
  <c r="E115" i="11"/>
  <c r="E117" i="11" s="1"/>
  <c r="P115" i="11"/>
  <c r="P117" i="11" s="1"/>
  <c r="O115" i="11"/>
  <c r="O117" i="11" s="1"/>
  <c r="N115" i="11"/>
  <c r="N117" i="11" s="1"/>
  <c r="N55" i="11"/>
  <c r="N57" i="11" s="1"/>
  <c r="O55" i="11"/>
  <c r="O57" i="11" s="1"/>
  <c r="P55" i="11"/>
  <c r="P57" i="11" s="1"/>
  <c r="M55" i="11"/>
  <c r="M57" i="11" s="1"/>
  <c r="K55" i="11"/>
  <c r="K57" i="11" s="1"/>
  <c r="L55" i="11"/>
  <c r="L57" i="11" s="1"/>
  <c r="J55" i="11"/>
  <c r="J57" i="11" s="1"/>
  <c r="G55" i="11"/>
  <c r="G57" i="11" s="1"/>
  <c r="H55" i="11"/>
  <c r="H57" i="11" s="1"/>
  <c r="N41" i="11"/>
  <c r="K41" i="11"/>
  <c r="E41" i="11"/>
  <c r="I23" i="5"/>
  <c r="F7" i="5" s="1"/>
  <c r="E31" i="11"/>
  <c r="E33" i="11" s="1"/>
  <c r="I31" i="11"/>
  <c r="I33" i="11" s="1"/>
  <c r="G31" i="11"/>
  <c r="G33" i="11" s="1"/>
  <c r="H31" i="11"/>
  <c r="H33" i="11" s="1"/>
  <c r="J31" i="11"/>
  <c r="J33" i="11" s="1"/>
  <c r="F31" i="11"/>
  <c r="F33" i="11" s="1"/>
  <c r="H7" i="5" l="1"/>
  <c r="F12" i="5"/>
  <c r="D21" i="12"/>
  <c r="D4" i="11"/>
  <c r="E55" i="11"/>
  <c r="E57" i="11" s="1"/>
  <c r="F55" i="11"/>
  <c r="F57" i="11" s="1"/>
  <c r="L115" i="11"/>
  <c r="L117" i="11" s="1"/>
  <c r="K115" i="11"/>
  <c r="K117" i="11" s="1"/>
  <c r="J115" i="11"/>
  <c r="J117" i="11" s="1"/>
  <c r="L31" i="11"/>
  <c r="L33" i="11" s="1"/>
  <c r="N31" i="11"/>
  <c r="N33" i="11" s="1"/>
  <c r="N34" i="11" s="1"/>
  <c r="M31" i="11"/>
  <c r="M33" i="11" s="1"/>
  <c r="O31" i="11"/>
  <c r="O33" i="11" s="1"/>
  <c r="E34" i="11"/>
  <c r="N118" i="11"/>
  <c r="E58" i="11"/>
  <c r="K58" i="11"/>
  <c r="K118" i="11"/>
  <c r="E118" i="11"/>
  <c r="D16" i="11"/>
  <c r="H8" i="5"/>
  <c r="I43" i="11"/>
  <c r="I45" i="11" s="1"/>
  <c r="J43" i="11"/>
  <c r="J45" i="11" s="1"/>
  <c r="F43" i="11"/>
  <c r="F45" i="11" s="1"/>
  <c r="E43" i="11"/>
  <c r="E45" i="11" s="1"/>
  <c r="H43" i="11"/>
  <c r="H45" i="11" s="1"/>
  <c r="G43" i="11"/>
  <c r="G45" i="11" s="1"/>
  <c r="M43" i="11"/>
  <c r="M45" i="11" s="1"/>
  <c r="K43" i="11"/>
  <c r="K45" i="11" s="1"/>
  <c r="L43" i="11"/>
  <c r="L45" i="11" s="1"/>
  <c r="N58" i="11"/>
  <c r="D76" i="11"/>
  <c r="D100" i="11"/>
  <c r="O43" i="11"/>
  <c r="O45" i="11" s="1"/>
  <c r="P43" i="11"/>
  <c r="P45" i="11" s="1"/>
  <c r="N43" i="11"/>
  <c r="N45" i="11" s="1"/>
  <c r="F14" i="12"/>
  <c r="J10" i="5" s="1"/>
  <c r="L10" i="5" s="1"/>
  <c r="L7" i="5" l="1"/>
  <c r="I7" i="5"/>
  <c r="I12" i="5" s="1"/>
  <c r="E5" i="11"/>
  <c r="K5" i="11"/>
  <c r="N5" i="11"/>
  <c r="E22" i="12"/>
  <c r="N22" i="12"/>
  <c r="K22" i="12"/>
  <c r="J7" i="5"/>
  <c r="K34" i="11"/>
  <c r="E60" i="11"/>
  <c r="N46" i="11"/>
  <c r="E36" i="11"/>
  <c r="E120" i="11"/>
  <c r="F16" i="12" s="1"/>
  <c r="J11" i="5" s="1"/>
  <c r="L11" i="5" s="1"/>
  <c r="H12" i="5"/>
  <c r="E46" i="11"/>
  <c r="E101" i="11"/>
  <c r="N101" i="11"/>
  <c r="K101" i="11"/>
  <c r="K46" i="11"/>
  <c r="N77" i="11"/>
  <c r="K77" i="11"/>
  <c r="E77" i="11"/>
  <c r="N17" i="11"/>
  <c r="E17" i="11"/>
  <c r="K17" i="11"/>
  <c r="F12" i="12"/>
  <c r="K7" i="5" l="1"/>
  <c r="K12" i="5" s="1"/>
  <c r="L12" i="5"/>
  <c r="O7" i="11"/>
  <c r="O9" i="11" s="1"/>
  <c r="N7" i="11"/>
  <c r="N9" i="11" s="1"/>
  <c r="P7" i="11"/>
  <c r="P9" i="11" s="1"/>
  <c r="N24" i="12"/>
  <c r="N26" i="12" s="1"/>
  <c r="P24" i="12"/>
  <c r="P26" i="12" s="1"/>
  <c r="O24" i="12"/>
  <c r="O26" i="12" s="1"/>
  <c r="H24" i="12"/>
  <c r="H26" i="12" s="1"/>
  <c r="F24" i="12"/>
  <c r="F26" i="12" s="1"/>
  <c r="J24" i="12"/>
  <c r="J26" i="12" s="1"/>
  <c r="E24" i="12"/>
  <c r="E26" i="12" s="1"/>
  <c r="I24" i="12"/>
  <c r="I26" i="12" s="1"/>
  <c r="G24" i="12"/>
  <c r="G26" i="12" s="1"/>
  <c r="L24" i="12"/>
  <c r="L26" i="12" s="1"/>
  <c r="M24" i="12"/>
  <c r="M26" i="12" s="1"/>
  <c r="K24" i="12"/>
  <c r="K26" i="12" s="1"/>
  <c r="M7" i="11"/>
  <c r="M9" i="11" s="1"/>
  <c r="L7" i="11"/>
  <c r="L9" i="11" s="1"/>
  <c r="K7" i="11"/>
  <c r="K9" i="11" s="1"/>
  <c r="I7" i="11"/>
  <c r="I9" i="11" s="1"/>
  <c r="H7" i="11"/>
  <c r="H9" i="11" s="1"/>
  <c r="F7" i="11"/>
  <c r="F9" i="11" s="1"/>
  <c r="G7" i="11"/>
  <c r="G9" i="11" s="1"/>
  <c r="E7" i="11"/>
  <c r="E9" i="11" s="1"/>
  <c r="J7" i="11"/>
  <c r="J9" i="11" s="1"/>
  <c r="E48" i="11"/>
  <c r="F10" i="12" s="1"/>
  <c r="L19" i="11"/>
  <c r="L21" i="11" s="1"/>
  <c r="K19" i="11"/>
  <c r="K21" i="11" s="1"/>
  <c r="M19" i="11"/>
  <c r="M21" i="11" s="1"/>
  <c r="M103" i="11"/>
  <c r="M105" i="11" s="1"/>
  <c r="K103" i="11"/>
  <c r="K105" i="11" s="1"/>
  <c r="K106" i="11" s="1"/>
  <c r="L103" i="11"/>
  <c r="L105" i="11" s="1"/>
  <c r="G19" i="11"/>
  <c r="G21" i="11" s="1"/>
  <c r="F19" i="11"/>
  <c r="F21" i="11" s="1"/>
  <c r="E19" i="11"/>
  <c r="E21" i="11" s="1"/>
  <c r="J19" i="11"/>
  <c r="J21" i="11" s="1"/>
  <c r="I19" i="11"/>
  <c r="I21" i="11" s="1"/>
  <c r="H19" i="11"/>
  <c r="H21" i="11" s="1"/>
  <c r="O103" i="11"/>
  <c r="O105" i="11" s="1"/>
  <c r="N103" i="11"/>
  <c r="N105" i="11" s="1"/>
  <c r="P103" i="11"/>
  <c r="P105" i="11" s="1"/>
  <c r="O19" i="11"/>
  <c r="O21" i="11" s="1"/>
  <c r="N19" i="11"/>
  <c r="N21" i="11" s="1"/>
  <c r="P19" i="11"/>
  <c r="P21" i="11" s="1"/>
  <c r="H103" i="11"/>
  <c r="H105" i="11" s="1"/>
  <c r="J103" i="11"/>
  <c r="J105" i="11" s="1"/>
  <c r="I103" i="11"/>
  <c r="I105" i="11" s="1"/>
  <c r="F103" i="11"/>
  <c r="F105" i="11" s="1"/>
  <c r="E103" i="11"/>
  <c r="E105" i="11" s="1"/>
  <c r="G103" i="11"/>
  <c r="G105" i="11" s="1"/>
  <c r="G79" i="11"/>
  <c r="G81" i="11" s="1"/>
  <c r="E79" i="11"/>
  <c r="E81" i="11" s="1"/>
  <c r="J79" i="11"/>
  <c r="J81" i="11" s="1"/>
  <c r="I79" i="11"/>
  <c r="I81" i="11" s="1"/>
  <c r="H79" i="11"/>
  <c r="H81" i="11" s="1"/>
  <c r="F79" i="11"/>
  <c r="F81" i="11" s="1"/>
  <c r="K79" i="11"/>
  <c r="K81" i="11" s="1"/>
  <c r="L79" i="11"/>
  <c r="L81" i="11" s="1"/>
  <c r="M79" i="11"/>
  <c r="M81" i="11" s="1"/>
  <c r="P79" i="11"/>
  <c r="P81" i="11" s="1"/>
  <c r="N79" i="11"/>
  <c r="N81" i="11" s="1"/>
  <c r="O79" i="11"/>
  <c r="O81" i="11" s="1"/>
  <c r="F9" i="12"/>
  <c r="J9" i="5" s="1"/>
  <c r="L9" i="5" s="1"/>
  <c r="F11" i="12"/>
  <c r="M7" i="5" l="1"/>
  <c r="M12" i="5" s="1"/>
  <c r="C29" i="7" s="1"/>
  <c r="E10" i="11"/>
  <c r="K27" i="12"/>
  <c r="N27" i="12"/>
  <c r="K10" i="11"/>
  <c r="E27" i="12"/>
  <c r="N10" i="11"/>
  <c r="N22" i="11"/>
  <c r="E22" i="11"/>
  <c r="N82" i="11"/>
  <c r="K22" i="11"/>
  <c r="K82" i="11"/>
  <c r="E106" i="11"/>
  <c r="E82" i="11"/>
  <c r="N106" i="11"/>
  <c r="E12" i="11" l="1"/>
  <c r="F7" i="12" s="1"/>
  <c r="E29" i="12"/>
  <c r="E24" i="11"/>
  <c r="F8" i="12" s="1"/>
  <c r="J8" i="5" s="1"/>
  <c r="L8" i="5" s="1"/>
  <c r="E84" i="11"/>
  <c r="F13" i="12" s="1"/>
  <c r="E108" i="11"/>
  <c r="F15" i="12" s="1"/>
  <c r="C30" i="7" l="1"/>
  <c r="J12" i="5"/>
  <c r="F17" i="12"/>
  <c r="D30" i="7" l="1"/>
</calcChain>
</file>

<file path=xl/comments1.xml><?xml version="1.0" encoding="utf-8"?>
<comments xmlns="http://schemas.openxmlformats.org/spreadsheetml/2006/main">
  <authors>
    <author>Marcelo Masci</author>
  </authors>
  <commentList>
    <comment ref="L17" authorId="0" shapeId="0">
      <text>
        <r>
          <rPr>
            <b/>
            <sz val="8"/>
            <color indexed="81"/>
            <rFont val="Tahoma"/>
            <family val="2"/>
          </rPr>
          <t>Marcelo Masci:</t>
        </r>
        <r>
          <rPr>
            <sz val="8"/>
            <color indexed="81"/>
            <rFont val="Tahoma"/>
            <family val="2"/>
          </rPr>
          <t xml:space="preserve">
Jr
SSr
Sr</t>
        </r>
      </text>
    </comment>
    <comment ref="M17" authorId="0" shapeId="0">
      <text>
        <r>
          <rPr>
            <b/>
            <sz val="8"/>
            <color indexed="81"/>
            <rFont val="Tahoma"/>
            <family val="2"/>
          </rPr>
          <t>Marcelo Masci:</t>
        </r>
        <r>
          <rPr>
            <sz val="8"/>
            <color indexed="81"/>
            <rFont val="Tahoma"/>
            <family val="2"/>
          </rPr>
          <t xml:space="preserve">
Part-Time
Full-Time</t>
        </r>
      </text>
    </comment>
    <comment ref="L18" authorId="0" shapeId="0">
      <text>
        <r>
          <rPr>
            <b/>
            <sz val="8"/>
            <color indexed="81"/>
            <rFont val="Tahoma"/>
            <family val="2"/>
          </rPr>
          <t>Marcelo Masci:</t>
        </r>
        <r>
          <rPr>
            <sz val="8"/>
            <color indexed="81"/>
            <rFont val="Tahoma"/>
            <family val="2"/>
          </rPr>
          <t xml:space="preserve">
Jr
SSr
Sr</t>
        </r>
      </text>
    </comment>
    <comment ref="M18" authorId="0" shapeId="0">
      <text>
        <r>
          <rPr>
            <b/>
            <sz val="8"/>
            <color indexed="81"/>
            <rFont val="Tahoma"/>
            <family val="2"/>
          </rPr>
          <t>Marcelo Masci:</t>
        </r>
        <r>
          <rPr>
            <sz val="8"/>
            <color indexed="81"/>
            <rFont val="Tahoma"/>
            <family val="2"/>
          </rPr>
          <t xml:space="preserve">
Part-Time
Full-Time</t>
        </r>
      </text>
    </comment>
    <comment ref="L19" authorId="0" shapeId="0">
      <text>
        <r>
          <rPr>
            <b/>
            <sz val="8"/>
            <color indexed="81"/>
            <rFont val="Tahoma"/>
            <family val="2"/>
          </rPr>
          <t>Marcelo Masci:</t>
        </r>
        <r>
          <rPr>
            <sz val="8"/>
            <color indexed="81"/>
            <rFont val="Tahoma"/>
            <family val="2"/>
          </rPr>
          <t xml:space="preserve">
Jr
SSr
Sr</t>
        </r>
      </text>
    </comment>
    <comment ref="M19" authorId="0" shapeId="0">
      <text>
        <r>
          <rPr>
            <b/>
            <sz val="8"/>
            <color indexed="81"/>
            <rFont val="Tahoma"/>
            <family val="2"/>
          </rPr>
          <t>Marcelo Masci:</t>
        </r>
        <r>
          <rPr>
            <sz val="8"/>
            <color indexed="81"/>
            <rFont val="Tahoma"/>
            <family val="2"/>
          </rPr>
          <t xml:space="preserve">
Part-Time
Full-Time</t>
        </r>
      </text>
    </comment>
    <comment ref="L20" authorId="0" shapeId="0">
      <text>
        <r>
          <rPr>
            <b/>
            <sz val="8"/>
            <color indexed="81"/>
            <rFont val="Tahoma"/>
            <family val="2"/>
          </rPr>
          <t>Marcelo Masci:</t>
        </r>
        <r>
          <rPr>
            <sz val="8"/>
            <color indexed="81"/>
            <rFont val="Tahoma"/>
            <family val="2"/>
          </rPr>
          <t xml:space="preserve">
Jr
SSr
Sr</t>
        </r>
      </text>
    </comment>
    <comment ref="M20" authorId="0" shapeId="0">
      <text>
        <r>
          <rPr>
            <b/>
            <sz val="8"/>
            <color indexed="81"/>
            <rFont val="Tahoma"/>
            <family val="2"/>
          </rPr>
          <t>Marcelo Masci:</t>
        </r>
        <r>
          <rPr>
            <sz val="8"/>
            <color indexed="81"/>
            <rFont val="Tahoma"/>
            <family val="2"/>
          </rPr>
          <t xml:space="preserve">
Part-Time
Full-Time</t>
        </r>
      </text>
    </comment>
    <comment ref="L21" authorId="0" shapeId="0">
      <text>
        <r>
          <rPr>
            <b/>
            <sz val="8"/>
            <color indexed="81"/>
            <rFont val="Tahoma"/>
            <family val="2"/>
          </rPr>
          <t>Marcelo Masci:</t>
        </r>
        <r>
          <rPr>
            <sz val="8"/>
            <color indexed="81"/>
            <rFont val="Tahoma"/>
            <family val="2"/>
          </rPr>
          <t xml:space="preserve">
Jr
SSr
Sr</t>
        </r>
      </text>
    </comment>
    <comment ref="M21" authorId="0" shapeId="0">
      <text>
        <r>
          <rPr>
            <b/>
            <sz val="8"/>
            <color indexed="81"/>
            <rFont val="Tahoma"/>
            <family val="2"/>
          </rPr>
          <t>Marcelo Masci:</t>
        </r>
        <r>
          <rPr>
            <sz val="8"/>
            <color indexed="81"/>
            <rFont val="Tahoma"/>
            <family val="2"/>
          </rPr>
          <t xml:space="preserve">
Part-Time
Full-Time</t>
        </r>
      </text>
    </comment>
  </commentList>
</comments>
</file>

<file path=xl/sharedStrings.xml><?xml version="1.0" encoding="utf-8"?>
<sst xmlns="http://schemas.openxmlformats.org/spreadsheetml/2006/main" count="507" uniqueCount="155">
  <si>
    <t>Descripción</t>
  </si>
  <si>
    <t>Stored Procedure Batch</t>
  </si>
  <si>
    <t>Interfaz de entrada tablas principales</t>
  </si>
  <si>
    <t>Interfaz de salida tablas principales</t>
  </si>
  <si>
    <t>Procesamientos internos</t>
  </si>
  <si>
    <t>Complejidad</t>
  </si>
  <si>
    <t>Referencias</t>
  </si>
  <si>
    <t>Categoría</t>
  </si>
  <si>
    <t>VB6 (Módulo o Addin) + Scripts BD</t>
  </si>
  <si>
    <t>Formulario lógica de negocio</t>
  </si>
  <si>
    <t>Formulario de Filtros, Consultas y Reporte</t>
  </si>
  <si>
    <t>Formulario datos adicionales</t>
  </si>
  <si>
    <t>Formulario ABM de tabla nueva</t>
  </si>
  <si>
    <t>Módulo Operacional ASP3 + Scripts BD</t>
  </si>
  <si>
    <t>Página datos adicionales</t>
  </si>
  <si>
    <t>Página ABM de tabla nueva</t>
  </si>
  <si>
    <t>Página lógica de negocio</t>
  </si>
  <si>
    <t>Página consulta de información</t>
  </si>
  <si>
    <t>Entidades adicionales Gen Rep</t>
  </si>
  <si>
    <t>Atributos adicionales Gen Rep</t>
  </si>
  <si>
    <t>Scripts BD</t>
  </si>
  <si>
    <t>Tabla paramétrica (s/ABM)</t>
  </si>
  <si>
    <t>Módulo Operacional ASP.NET + Scripts BD</t>
  </si>
  <si>
    <t>Cantidad de campos, tipo de datos, índices</t>
  </si>
  <si>
    <t>Campo sin combo, campo con combo</t>
  </si>
  <si>
    <t xml:space="preserve">Lógica, Vistas, Tablas auxiliares, </t>
  </si>
  <si>
    <t>Proceso de alta de archivos, tablas de in, alta automática, cantidad de campos</t>
  </si>
  <si>
    <t>Proceso de bajada de archivos, tablas de out, baja automática, cantidad de campos</t>
  </si>
  <si>
    <t>Modificación de página, creación de SPs, cantidad de campos, diseño de formulario</t>
  </si>
  <si>
    <t>Creación de págína, creación de tabla, robot, cantidad de campos, diseño formulario, consultas otras tablas.</t>
  </si>
  <si>
    <t>Lógica, cantidad de tablas, cantidad de pasos, modificación de tabla, implementación en BS o en base de datos</t>
  </si>
  <si>
    <t>Cantidad filtros, cantidad de columnas, cantidad de tablas, stored procedures, diseño formulario</t>
  </si>
  <si>
    <t>Modificación de formulario, creación de SPs, cantidad de campos, diseño de formulario</t>
  </si>
  <si>
    <t>Creación de formulario, creación de tabla, robot, cantidad de campos, diseño formulario, consultas otras tablas.</t>
  </si>
  <si>
    <t>Indicadores adicionales</t>
  </si>
  <si>
    <t>Scripts BD + Stored Procedure</t>
  </si>
  <si>
    <t>Cantidad</t>
  </si>
  <si>
    <t>Experiencia del Equipo</t>
  </si>
  <si>
    <t>Tiempo dedicado a otras tareas</t>
  </si>
  <si>
    <t>Total</t>
  </si>
  <si>
    <t>Factores de Corrección</t>
  </si>
  <si>
    <t>Código</t>
  </si>
  <si>
    <t>VB6FormDataAdic</t>
  </si>
  <si>
    <t>VB6FormABMTabla</t>
  </si>
  <si>
    <t>VB6FormLogica</t>
  </si>
  <si>
    <t>VB6FormConsulta</t>
  </si>
  <si>
    <t>ASP3PageDataAdic</t>
  </si>
  <si>
    <t>ASP3PageABMTabla</t>
  </si>
  <si>
    <t>ASP3PageLogica</t>
  </si>
  <si>
    <t>ASP3PageConsulta</t>
  </si>
  <si>
    <t>NETPageDataAdic</t>
  </si>
  <si>
    <t>NETPageABMTabla</t>
  </si>
  <si>
    <t>NETPageLogica</t>
  </si>
  <si>
    <t>NETPageConsulta</t>
  </si>
  <si>
    <t>SPBatchInterIn</t>
  </si>
  <si>
    <t>SPBatchInterOut</t>
  </si>
  <si>
    <t>SPBatchProceso</t>
  </si>
  <si>
    <t>ScriptsGenRepEnt</t>
  </si>
  <si>
    <t>ScriptsGenRepAtrib</t>
  </si>
  <si>
    <t>ScriptsSPKPIAdic</t>
  </si>
  <si>
    <t>ScriptsTablaAdic</t>
  </si>
  <si>
    <t>Complejidad (Hs)
(1=Baja / 4=Alta)</t>
  </si>
  <si>
    <t>Hs. Unitarias s/Complejidad</t>
  </si>
  <si>
    <t>Hs. Totales c/Corrección</t>
  </si>
  <si>
    <t>Template - Estimación :: Etapa Relevamiento</t>
  </si>
  <si>
    <t>Estimación de Requerimientos - Etapa Relevamiento</t>
  </si>
  <si>
    <t>Ajuste Comité</t>
  </si>
  <si>
    <t>Otros</t>
  </si>
  <si>
    <t>OT</t>
  </si>
  <si>
    <t>Cliente</t>
  </si>
  <si>
    <t xml:space="preserve">Solicitado por </t>
  </si>
  <si>
    <t>Fecha</t>
  </si>
  <si>
    <t>Tema</t>
  </si>
  <si>
    <t>Solicita presupuesto?</t>
  </si>
  <si>
    <t>&lt;sí/no&gt;</t>
  </si>
  <si>
    <t>Presupuestado por</t>
  </si>
  <si>
    <t>&lt;nombre y apellido&gt;</t>
  </si>
  <si>
    <t>Referencias (documentación, otros)</t>
  </si>
  <si>
    <t>Especificación de Requerimientos</t>
  </si>
  <si>
    <t>&lt;indicar ubicación en la red&gt;</t>
  </si>
  <si>
    <t>Otro</t>
  </si>
  <si>
    <t>&lt;indicar ubicación en la red/otro&gt;</t>
  </si>
  <si>
    <t>Funcionalidad</t>
  </si>
  <si>
    <t>Estimación Proceso de Desarrollo (Hs.)</t>
  </si>
  <si>
    <t>Comentarios</t>
  </si>
  <si>
    <t>T</t>
  </si>
  <si>
    <t>Tema:</t>
  </si>
  <si>
    <t>Cliente:</t>
  </si>
  <si>
    <t>Soporte</t>
  </si>
  <si>
    <t>Soporte técnico</t>
  </si>
  <si>
    <t>Tiempo total del proyecto:</t>
  </si>
  <si>
    <t>Detalle de estimación/presupuestación según asignación temporal de cada rol:</t>
  </si>
  <si>
    <t>Rol</t>
  </si>
  <si>
    <t>Líder Técnico</t>
  </si>
  <si>
    <t>Estimación por Asignación Temporal</t>
  </si>
  <si>
    <t>Diferencia</t>
  </si>
  <si>
    <t>Tiempo asignado (semanas)</t>
  </si>
  <si>
    <t>Total Horas asignadas</t>
  </si>
  <si>
    <t>Estimación por planilla</t>
  </si>
  <si>
    <t>Testing</t>
  </si>
  <si>
    <t>Hs Unitarias</t>
  </si>
  <si>
    <t>Hs Adicionales</t>
  </si>
  <si>
    <t>Testing Adicional</t>
  </si>
  <si>
    <t>Horas con Ajuste anticipado por regresión e Integración</t>
  </si>
  <si>
    <t>Ciclo 1</t>
  </si>
  <si>
    <t>Ciclo 2</t>
  </si>
  <si>
    <t>Ciclo 3</t>
  </si>
  <si>
    <t>Ambiente</t>
  </si>
  <si>
    <t>Entendimiento</t>
  </si>
  <si>
    <t>Diseño de TC</t>
  </si>
  <si>
    <t>Smoke</t>
  </si>
  <si>
    <t>Unitario</t>
  </si>
  <si>
    <t>Integración</t>
  </si>
  <si>
    <t>Regresión</t>
  </si>
  <si>
    <t>Re-Work</t>
  </si>
  <si>
    <t>Performance</t>
  </si>
  <si>
    <t>Volumen</t>
  </si>
  <si>
    <t>Concurrencia</t>
  </si>
  <si>
    <t>Horas X Ciclo</t>
  </si>
  <si>
    <t>Porcentual X tarea</t>
  </si>
  <si>
    <t>Hs X Ciclo X Tarea</t>
  </si>
  <si>
    <t>Horas con Complejidad</t>
  </si>
  <si>
    <t>Total hs X ciclo con Ajuste de complejidad</t>
  </si>
  <si>
    <t>Horas Totales</t>
  </si>
  <si>
    <t>Consideraciones</t>
  </si>
  <si>
    <t xml:space="preserve">1. Las horas que se toman como base, se desprenden del cuadro de estimación del equipo de desarrollo, existen casos en los que desarrollo realizan ajustes muy pequeños que tienen un gran impacto en las tareas de testing, esto se ve reflejado en las pruebas de regresión que puedan surgir, con lo cual, debe necesariamente, hacerse un ajuste previo, a las horas recibidas previendo este tipo de situaciones.
2. El cuadro Testing Adicional, contiene componentes que deberán cuantificarte según las características del proyecto, habitualmente, esta estimación no se realizara, el líder del proyecto, deberá tenerlo en cuenta, y realizar el pedido de estimación en caso de ser necesario.
</t>
  </si>
  <si>
    <t>Complejidad (1 to 5)</t>
  </si>
  <si>
    <t>Menor complejidad</t>
  </si>
  <si>
    <t>Mayor Complejidad</t>
  </si>
  <si>
    <t>Relación Complejidad adición de tiempo (Porcentaje de tiempo en relación "Hs X Ciclo X Tarea" que se adiciona al tiempo total)</t>
  </si>
  <si>
    <t>% de tiempo adicional a "Hs X Ciclo X Tarea"</t>
  </si>
  <si>
    <t>Líder Testing</t>
  </si>
  <si>
    <t>Totalizadores por departamento</t>
  </si>
  <si>
    <t xml:space="preserve">Estimación </t>
  </si>
  <si>
    <t>% promedio de asignación semanal</t>
  </si>
  <si>
    <t>ScriptsDepuración</t>
  </si>
  <si>
    <t>Scripts Depuración</t>
  </si>
  <si>
    <t>NETPageWebServiceConsumir</t>
  </si>
  <si>
    <t>NETPageWebServiceCreate</t>
  </si>
  <si>
    <t>Consumir Web Service</t>
  </si>
  <si>
    <t>Creación de Web Service</t>
  </si>
  <si>
    <t>ScriptsDataBuilder</t>
  </si>
  <si>
    <t>Scripts Data Builder</t>
  </si>
  <si>
    <t>ScriptsCargaMasiva</t>
  </si>
  <si>
    <t>Scripts Carga Masiva</t>
  </si>
  <si>
    <t>Analista Programador 1</t>
  </si>
  <si>
    <t>Analista Programador 2</t>
  </si>
  <si>
    <t>Analista Testing 1</t>
  </si>
  <si>
    <t>Analista Testing 2</t>
  </si>
  <si>
    <t>Coordinador Desarrollo</t>
  </si>
  <si>
    <t>#</t>
  </si>
  <si>
    <t>Desarrollo</t>
  </si>
  <si>
    <t>Analista Programador</t>
  </si>
  <si>
    <t>Coordinador</t>
  </si>
  <si>
    <t>Analista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</si>
</sst>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1" x14ac:knownFonts="1">
    <font>
      <sz val="10"/>
      <name val="Arial"/>
    </font>
    <font>
      <sz val="8"/>
      <name val="Arial"/>
      <family val="2"/>
    </font>
    <font>
      <b/>
      <sz val="8"/>
      <name val="Arial"/>
      <family val="2"/>
    </font>
    <font>
      <b/>
      <sz val="10"/>
      <name val="Arial"/>
      <family val="2"/>
    </font>
    <font>
      <sz val="10"/>
      <name val="Arial"/>
      <family val="2"/>
    </font>
    <font>
      <sz val="10"/>
      <color indexed="10"/>
      <name val="Arial"/>
      <family val="2"/>
    </font>
    <font>
      <i/>
      <sz val="10"/>
      <name val="Arial"/>
      <family val="2"/>
    </font>
    <font>
      <b/>
      <i/>
      <sz val="8"/>
      <name val="Arial"/>
      <family val="2"/>
    </font>
    <font>
      <b/>
      <sz val="9"/>
      <name val="Arial"/>
      <family val="2"/>
    </font>
    <font>
      <sz val="10"/>
      <color indexed="12"/>
      <name val="Arial"/>
      <family val="2"/>
    </font>
    <font>
      <b/>
      <sz val="9"/>
      <color indexed="12"/>
      <name val="Arial"/>
      <family val="2"/>
    </font>
    <font>
      <b/>
      <sz val="10"/>
      <color indexed="12"/>
      <name val="Arial"/>
      <family val="2"/>
    </font>
    <font>
      <b/>
      <sz val="8"/>
      <color indexed="23"/>
      <name val="Arial"/>
      <family val="2"/>
    </font>
    <font>
      <sz val="10"/>
      <color indexed="23"/>
      <name val="Arial"/>
      <family val="2"/>
    </font>
    <font>
      <b/>
      <sz val="10"/>
      <color indexed="12"/>
      <name val="Arial"/>
      <family val="2"/>
    </font>
    <font>
      <sz val="8"/>
      <color indexed="81"/>
      <name val="Tahoma"/>
      <family val="2"/>
    </font>
    <font>
      <b/>
      <sz val="8"/>
      <color indexed="81"/>
      <name val="Tahoma"/>
      <family val="2"/>
    </font>
    <font>
      <sz val="10"/>
      <name val="Arial"/>
      <family val="2"/>
    </font>
    <font>
      <i/>
      <sz val="10"/>
      <color indexed="12"/>
      <name val="Arial"/>
      <family val="2"/>
    </font>
    <font>
      <sz val="10"/>
      <color indexed="8"/>
      <name val="Arial"/>
      <family val="2"/>
    </font>
    <font>
      <b/>
      <sz val="11"/>
      <color theme="1"/>
      <name val="Calibri"/>
      <family val="2"/>
      <scheme val="minor"/>
    </font>
    <font>
      <sz val="10"/>
      <color rgb="FF000000"/>
      <name val="Calibri"/>
      <family val="2"/>
    </font>
    <font>
      <sz val="10"/>
      <color rgb="FF000000"/>
      <name val="Arial"/>
      <family val="2"/>
    </font>
    <font>
      <sz val="9"/>
      <color theme="1"/>
      <name val="Calibri"/>
      <family val="2"/>
      <scheme val="minor"/>
    </font>
    <font>
      <sz val="10"/>
      <color theme="1"/>
      <name val="Calibri"/>
      <family val="2"/>
      <scheme val="minor"/>
    </font>
    <font>
      <b/>
      <sz val="10"/>
      <color rgb="FF000000"/>
      <name val="Calibri"/>
      <family val="2"/>
    </font>
    <font>
      <sz val="10"/>
      <color rgb="FF008000"/>
      <name val="Arial"/>
      <family val="2"/>
    </font>
    <font>
      <b/>
      <sz val="10"/>
      <color indexed="8"/>
      <name val="Arial"/>
      <family val="2"/>
    </font>
    <font>
      <b/>
      <sz val="11"/>
      <name val="Arial"/>
      <family val="2"/>
    </font>
    <font>
      <sz val="11"/>
      <name val="Arial"/>
      <family val="2"/>
    </font>
    <font>
      <b/>
      <sz val="10"/>
      <color indexed="23"/>
      <name val="Arial"/>
      <family val="2"/>
    </font>
  </fonts>
  <fills count="10">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theme="2"/>
        <bgColor indexed="64"/>
      </patternFill>
    </fill>
    <fill>
      <patternFill patternType="solid">
        <fgColor theme="0" tint="-0.249977111117893"/>
        <bgColor rgb="FF000000"/>
      </patternFill>
    </fill>
    <fill>
      <patternFill patternType="solid">
        <fgColor theme="3" tint="0.79998168889431442"/>
        <bgColor rgb="FF000000"/>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s>
  <borders count="75">
    <border>
      <left/>
      <right/>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uble">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bottom style="thin">
        <color indexed="64"/>
      </bottom>
      <diagonal/>
    </border>
    <border>
      <left style="thin">
        <color indexed="64"/>
      </left>
      <right/>
      <top style="medium">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9" fontId="17" fillId="0" borderId="0" applyFont="0" applyFill="0" applyBorder="0" applyAlignment="0" applyProtection="0"/>
  </cellStyleXfs>
  <cellXfs count="355">
    <xf numFmtId="0" fontId="0" fillId="0" borderId="0" xfId="0"/>
    <xf numFmtId="0" fontId="2" fillId="0" borderId="0" xfId="0" applyFont="1" applyAlignment="1">
      <alignment vertical="center"/>
    </xf>
    <xf numFmtId="0" fontId="3" fillId="0" borderId="0" xfId="0" applyFont="1" applyAlignment="1">
      <alignment vertical="center"/>
    </xf>
    <xf numFmtId="0" fontId="2" fillId="0" borderId="1" xfId="0" applyFont="1" applyFill="1" applyBorder="1" applyAlignment="1">
      <alignment vertical="center"/>
    </xf>
    <xf numFmtId="0" fontId="4" fillId="0" borderId="0" xfId="0" applyFont="1"/>
    <xf numFmtId="0" fontId="4" fillId="0" borderId="2" xfId="0" applyFont="1" applyFill="1" applyBorder="1"/>
    <xf numFmtId="0" fontId="4" fillId="0" borderId="3" xfId="0" applyFont="1" applyFill="1" applyBorder="1"/>
    <xf numFmtId="0" fontId="4" fillId="0" borderId="4" xfId="0" applyFont="1" applyFill="1" applyBorder="1"/>
    <xf numFmtId="0" fontId="4" fillId="0" borderId="5" xfId="0" applyFont="1" applyFill="1" applyBorder="1"/>
    <xf numFmtId="0" fontId="4" fillId="0" borderId="6" xfId="0" applyFont="1" applyFill="1" applyBorder="1"/>
    <xf numFmtId="0" fontId="4" fillId="0" borderId="7" xfId="0" applyFont="1" applyFill="1" applyBorder="1"/>
    <xf numFmtId="0" fontId="4" fillId="0" borderId="8" xfId="0" applyFont="1" applyFill="1" applyBorder="1"/>
    <xf numFmtId="0" fontId="4" fillId="0" borderId="9" xfId="0" applyFont="1" applyFill="1" applyBorder="1"/>
    <xf numFmtId="0" fontId="4" fillId="0" borderId="10" xfId="0" applyFont="1" applyFill="1" applyBorder="1"/>
    <xf numFmtId="0" fontId="4" fillId="0" borderId="11" xfId="0" applyFont="1" applyFill="1" applyBorder="1"/>
    <xf numFmtId="0" fontId="4" fillId="0" borderId="12" xfId="0" applyFont="1" applyFill="1" applyBorder="1"/>
    <xf numFmtId="0" fontId="4" fillId="0" borderId="13" xfId="0" applyFont="1" applyFill="1" applyBorder="1"/>
    <xf numFmtId="0" fontId="5" fillId="0" borderId="0" xfId="0" applyFont="1"/>
    <xf numFmtId="0" fontId="4" fillId="0" borderId="14" xfId="0" applyFont="1" applyFill="1" applyBorder="1"/>
    <xf numFmtId="0" fontId="4" fillId="0" borderId="15" xfId="0" applyFont="1" applyFill="1" applyBorder="1"/>
    <xf numFmtId="0" fontId="4" fillId="0" borderId="16" xfId="0" applyFont="1" applyBorder="1" applyAlignment="1">
      <alignment vertical="center"/>
    </xf>
    <xf numFmtId="0" fontId="4" fillId="0" borderId="16" xfId="0" applyFont="1" applyBorder="1" applyAlignment="1">
      <alignment horizontal="center" vertical="center"/>
    </xf>
    <xf numFmtId="0" fontId="4" fillId="0" borderId="0" xfId="0" applyFont="1" applyAlignment="1">
      <alignment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4" fillId="0" borderId="0" xfId="0" applyFont="1" applyBorder="1" applyAlignment="1">
      <alignment horizontal="left" vertical="top"/>
    </xf>
    <xf numFmtId="0" fontId="4" fillId="0" borderId="19" xfId="0" applyFont="1" applyBorder="1" applyAlignment="1">
      <alignment horizontal="left" vertical="top"/>
    </xf>
    <xf numFmtId="0" fontId="6" fillId="0" borderId="0" xfId="0" applyFont="1"/>
    <xf numFmtId="0" fontId="7" fillId="0" borderId="0" xfId="0" applyFont="1" applyAlignment="1">
      <alignment vertical="center"/>
    </xf>
    <xf numFmtId="0" fontId="4" fillId="0" borderId="20" xfId="0" applyFont="1" applyFill="1" applyBorder="1"/>
    <xf numFmtId="0" fontId="2" fillId="0" borderId="21" xfId="0" applyFont="1" applyFill="1" applyBorder="1" applyAlignment="1">
      <alignment horizontal="left" vertical="center"/>
    </xf>
    <xf numFmtId="0" fontId="3" fillId="0" borderId="22" xfId="0" applyFont="1" applyBorder="1" applyAlignment="1">
      <alignment horizontal="left" vertical="center"/>
    </xf>
    <xf numFmtId="0" fontId="4" fillId="0" borderId="23" xfId="0" applyFont="1" applyBorder="1" applyAlignment="1">
      <alignment horizontal="left" vertical="top"/>
    </xf>
    <xf numFmtId="0" fontId="4" fillId="0" borderId="24" xfId="0" applyFont="1" applyBorder="1" applyAlignment="1">
      <alignment horizontal="left" vertical="top"/>
    </xf>
    <xf numFmtId="0" fontId="2" fillId="0" borderId="12" xfId="0" applyFont="1" applyFill="1" applyBorder="1" applyAlignment="1">
      <alignment horizontal="center" vertical="center" wrapText="1"/>
    </xf>
    <xf numFmtId="0" fontId="2" fillId="0" borderId="12" xfId="0" applyFont="1" applyFill="1" applyBorder="1" applyAlignment="1">
      <alignment horizontal="center" vertical="center"/>
    </xf>
    <xf numFmtId="0" fontId="2" fillId="0" borderId="13" xfId="0" applyFont="1" applyFill="1" applyBorder="1" applyAlignment="1">
      <alignment horizontal="center" vertical="center"/>
    </xf>
    <xf numFmtId="0" fontId="9" fillId="0" borderId="0" xfId="0" applyFont="1"/>
    <xf numFmtId="0" fontId="9" fillId="0" borderId="4" xfId="0" applyFont="1" applyFill="1" applyBorder="1"/>
    <xf numFmtId="0" fontId="14" fillId="0" borderId="25" xfId="0" applyFont="1" applyBorder="1"/>
    <xf numFmtId="0" fontId="6" fillId="0" borderId="9" xfId="0" applyFont="1" applyFill="1" applyBorder="1"/>
    <xf numFmtId="0" fontId="4" fillId="0" borderId="26" xfId="0" applyFont="1" applyFill="1" applyBorder="1"/>
    <xf numFmtId="0" fontId="0" fillId="0" borderId="8" xfId="0" applyBorder="1" applyAlignment="1">
      <alignment horizontal="right" vertical="center"/>
    </xf>
    <xf numFmtId="0" fontId="0" fillId="0" borderId="27" xfId="0" applyBorder="1" applyAlignment="1">
      <alignment horizontal="right" vertical="center"/>
    </xf>
    <xf numFmtId="0" fontId="3" fillId="0" borderId="0" xfId="0" applyFont="1"/>
    <xf numFmtId="0" fontId="11" fillId="0" borderId="9" xfId="0" applyFont="1" applyFill="1" applyBorder="1"/>
    <xf numFmtId="0" fontId="13" fillId="0" borderId="9" xfId="0" applyFont="1" applyFill="1" applyBorder="1" applyAlignment="1">
      <alignment horizontal="right"/>
    </xf>
    <xf numFmtId="0" fontId="13" fillId="0" borderId="10" xfId="0" applyFont="1" applyFill="1" applyBorder="1"/>
    <xf numFmtId="0" fontId="6" fillId="0" borderId="12" xfId="0" applyFont="1" applyFill="1" applyBorder="1"/>
    <xf numFmtId="0" fontId="11" fillId="0" borderId="12" xfId="0" applyFont="1" applyFill="1" applyBorder="1"/>
    <xf numFmtId="0" fontId="13" fillId="0" borderId="12" xfId="0" applyFont="1" applyFill="1" applyBorder="1" applyAlignment="1">
      <alignment horizontal="right"/>
    </xf>
    <xf numFmtId="0" fontId="13" fillId="0" borderId="13" xfId="0" applyFont="1" applyFill="1" applyBorder="1"/>
    <xf numFmtId="0" fontId="4" fillId="0" borderId="0" xfId="0" applyFont="1" applyFill="1" applyBorder="1"/>
    <xf numFmtId="0" fontId="0" fillId="0" borderId="0" xfId="0" applyAlignment="1">
      <alignment horizontal="center" vertical="center"/>
    </xf>
    <xf numFmtId="0" fontId="0" fillId="0" borderId="0" xfId="0" applyAlignment="1"/>
    <xf numFmtId="0" fontId="0" fillId="0" borderId="0" xfId="0" applyAlignment="1">
      <alignment horizontal="center"/>
    </xf>
    <xf numFmtId="0" fontId="9" fillId="0" borderId="9" xfId="0" applyFont="1" applyBorder="1"/>
    <xf numFmtId="9" fontId="9" fillId="0" borderId="9" xfId="1" applyFont="1" applyBorder="1"/>
    <xf numFmtId="0" fontId="0" fillId="0" borderId="9" xfId="0" applyBorder="1"/>
    <xf numFmtId="0" fontId="0" fillId="0" borderId="0" xfId="0" applyBorder="1" applyAlignment="1">
      <alignment horizontal="center" vertical="center"/>
    </xf>
    <xf numFmtId="0" fontId="0" fillId="0" borderId="0" xfId="0" applyBorder="1"/>
    <xf numFmtId="0" fontId="0" fillId="0" borderId="29" xfId="0" applyBorder="1"/>
    <xf numFmtId="9" fontId="0" fillId="0" borderId="0" xfId="1" applyFont="1" applyProtection="1"/>
    <xf numFmtId="0" fontId="3" fillId="3" borderId="7" xfId="0" applyFont="1" applyFill="1" applyBorder="1"/>
    <xf numFmtId="0" fontId="3" fillId="0" borderId="30" xfId="0" applyFont="1" applyBorder="1"/>
    <xf numFmtId="0" fontId="4" fillId="0" borderId="31" xfId="0" applyFont="1" applyFill="1" applyBorder="1"/>
    <xf numFmtId="0" fontId="4" fillId="0" borderId="32" xfId="0" applyFont="1" applyFill="1" applyBorder="1"/>
    <xf numFmtId="0" fontId="0" fillId="0" borderId="11" xfId="0" applyBorder="1" applyAlignment="1">
      <alignment horizontal="right" vertical="center"/>
    </xf>
    <xf numFmtId="0" fontId="0" fillId="0" borderId="14" xfId="0" applyBorder="1" applyAlignment="1">
      <alignment horizontal="right" vertical="center"/>
    </xf>
    <xf numFmtId="0" fontId="0" fillId="0" borderId="34" xfId="0" applyBorder="1" applyAlignment="1">
      <alignment vertical="top"/>
    </xf>
    <xf numFmtId="0" fontId="0" fillId="0" borderId="35" xfId="0" applyBorder="1" applyAlignment="1">
      <alignment vertical="top"/>
    </xf>
    <xf numFmtId="0" fontId="0" fillId="0" borderId="29" xfId="0" applyBorder="1" applyAlignment="1">
      <alignment vertical="top"/>
    </xf>
    <xf numFmtId="0" fontId="3" fillId="2" borderId="25" xfId="0" applyFont="1" applyFill="1" applyBorder="1" applyAlignment="1">
      <alignment horizontal="center" wrapText="1"/>
    </xf>
    <xf numFmtId="0" fontId="4" fillId="0" borderId="37" xfId="0" applyNumberFormat="1" applyFont="1" applyFill="1" applyBorder="1" applyAlignment="1">
      <alignment horizontal="center" vertical="center"/>
    </xf>
    <xf numFmtId="0" fontId="4" fillId="0" borderId="25" xfId="0" applyNumberFormat="1" applyFont="1" applyFill="1" applyBorder="1" applyAlignment="1">
      <alignment horizontal="center" vertical="center"/>
    </xf>
    <xf numFmtId="0" fontId="3" fillId="2" borderId="25" xfId="0" applyFont="1" applyFill="1" applyBorder="1" applyAlignment="1">
      <alignment horizontal="center" vertical="center"/>
    </xf>
    <xf numFmtId="0" fontId="4" fillId="0" borderId="38" xfId="0" applyNumberFormat="1" applyFont="1" applyFill="1" applyBorder="1" applyAlignment="1">
      <alignment horizontal="center" vertical="center"/>
    </xf>
    <xf numFmtId="9" fontId="21" fillId="0" borderId="8" xfId="0" applyNumberFormat="1" applyFont="1" applyFill="1" applyBorder="1"/>
    <xf numFmtId="9" fontId="21" fillId="0" borderId="9" xfId="0" applyNumberFormat="1" applyFont="1" applyFill="1" applyBorder="1"/>
    <xf numFmtId="9" fontId="21" fillId="0" borderId="10" xfId="0" applyNumberFormat="1" applyFont="1" applyFill="1" applyBorder="1"/>
    <xf numFmtId="9" fontId="21" fillId="0" borderId="41" xfId="0" applyNumberFormat="1" applyFont="1" applyFill="1" applyBorder="1"/>
    <xf numFmtId="2" fontId="21" fillId="0" borderId="42" xfId="0" applyNumberFormat="1" applyFont="1" applyFill="1" applyBorder="1"/>
    <xf numFmtId="2" fontId="21" fillId="0" borderId="30" xfId="0" applyNumberFormat="1" applyFont="1" applyFill="1" applyBorder="1"/>
    <xf numFmtId="2" fontId="21" fillId="0" borderId="18" xfId="0" applyNumberFormat="1" applyFont="1" applyFill="1" applyBorder="1"/>
    <xf numFmtId="2" fontId="22" fillId="0" borderId="43" xfId="0" applyNumberFormat="1" applyFont="1" applyFill="1" applyBorder="1"/>
    <xf numFmtId="2" fontId="22" fillId="0" borderId="44" xfId="0" applyNumberFormat="1" applyFont="1" applyFill="1" applyBorder="1"/>
    <xf numFmtId="2" fontId="22" fillId="0" borderId="45" xfId="0" applyNumberFormat="1" applyFont="1" applyFill="1" applyBorder="1"/>
    <xf numFmtId="2" fontId="21" fillId="0" borderId="8" xfId="0" applyNumberFormat="1" applyFont="1" applyFill="1" applyBorder="1"/>
    <xf numFmtId="2" fontId="21" fillId="0" borderId="9" xfId="0" applyNumberFormat="1" applyFont="1" applyFill="1" applyBorder="1"/>
    <xf numFmtId="2" fontId="21" fillId="0" borderId="10" xfId="0" applyNumberFormat="1" applyFont="1" applyFill="1" applyBorder="1"/>
    <xf numFmtId="0" fontId="21" fillId="0" borderId="46" xfId="0" applyFont="1" applyFill="1" applyBorder="1"/>
    <xf numFmtId="0" fontId="21" fillId="0" borderId="0" xfId="0" applyFont="1" applyFill="1" applyBorder="1" applyAlignment="1">
      <alignment horizontal="center"/>
    </xf>
    <xf numFmtId="0" fontId="23" fillId="0" borderId="9" xfId="0" applyFont="1" applyBorder="1"/>
    <xf numFmtId="0" fontId="24" fillId="4" borderId="37" xfId="0" applyFont="1" applyFill="1" applyBorder="1" applyAlignment="1">
      <alignment wrapText="1"/>
    </xf>
    <xf numFmtId="9" fontId="0" fillId="0" borderId="9" xfId="0" applyNumberFormat="1" applyBorder="1"/>
    <xf numFmtId="0" fontId="24" fillId="4" borderId="37" xfId="0" applyFont="1" applyFill="1" applyBorder="1"/>
    <xf numFmtId="2" fontId="22" fillId="0" borderId="11" xfId="0" applyNumberFormat="1" applyFont="1" applyFill="1" applyBorder="1"/>
    <xf numFmtId="2" fontId="22" fillId="0" borderId="12" xfId="0" applyNumberFormat="1" applyFont="1" applyFill="1" applyBorder="1"/>
    <xf numFmtId="2" fontId="22" fillId="0" borderId="13" xfId="0" applyNumberFormat="1" applyFont="1" applyFill="1" applyBorder="1"/>
    <xf numFmtId="9" fontId="21" fillId="0" borderId="47" xfId="0" applyNumberFormat="1" applyFont="1" applyFill="1" applyBorder="1"/>
    <xf numFmtId="2" fontId="21" fillId="0" borderId="47" xfId="0" applyNumberFormat="1" applyFont="1" applyFill="1" applyBorder="1"/>
    <xf numFmtId="2" fontId="22" fillId="0" borderId="48" xfId="0" applyNumberFormat="1" applyFont="1" applyFill="1" applyBorder="1"/>
    <xf numFmtId="0" fontId="21" fillId="0" borderId="0" xfId="0" applyFont="1" applyFill="1" applyBorder="1"/>
    <xf numFmtId="0" fontId="21" fillId="0" borderId="9" xfId="0" applyFont="1" applyFill="1" applyBorder="1"/>
    <xf numFmtId="9" fontId="21" fillId="0" borderId="14" xfId="0" applyNumberFormat="1" applyFont="1" applyFill="1" applyBorder="1"/>
    <xf numFmtId="9" fontId="21" fillId="0" borderId="20" xfId="0" applyNumberFormat="1" applyFont="1" applyFill="1" applyBorder="1"/>
    <xf numFmtId="9" fontId="21" fillId="0" borderId="39" xfId="0" applyNumberFormat="1" applyFont="1" applyFill="1" applyBorder="1"/>
    <xf numFmtId="0" fontId="21" fillId="0" borderId="0" xfId="0" applyFont="1" applyFill="1" applyBorder="1" applyAlignment="1">
      <alignment vertical="center"/>
    </xf>
    <xf numFmtId="0" fontId="21" fillId="5" borderId="27" xfId="0" applyFont="1" applyFill="1" applyBorder="1"/>
    <xf numFmtId="0" fontId="21" fillId="5" borderId="31" xfId="0" applyFont="1" applyFill="1" applyBorder="1"/>
    <xf numFmtId="0" fontId="21" fillId="5" borderId="32" xfId="0" applyFont="1" applyFill="1" applyBorder="1"/>
    <xf numFmtId="0" fontId="21" fillId="5" borderId="50" xfId="0" applyFont="1" applyFill="1" applyBorder="1"/>
    <xf numFmtId="0" fontId="21" fillId="5" borderId="51" xfId="0" applyFont="1" applyFill="1" applyBorder="1"/>
    <xf numFmtId="0" fontId="21" fillId="5" borderId="52" xfId="0" applyFont="1" applyFill="1" applyBorder="1"/>
    <xf numFmtId="0" fontId="21" fillId="5" borderId="53" xfId="0" applyFont="1" applyFill="1" applyBorder="1" applyAlignment="1">
      <alignment wrapText="1"/>
    </xf>
    <xf numFmtId="0" fontId="21" fillId="5" borderId="25" xfId="0" applyFont="1" applyFill="1" applyBorder="1" applyAlignment="1">
      <alignment wrapText="1"/>
    </xf>
    <xf numFmtId="0" fontId="21" fillId="5" borderId="2" xfId="0" applyFont="1" applyFill="1" applyBorder="1"/>
    <xf numFmtId="0" fontId="21" fillId="5" borderId="3" xfId="0" applyFont="1" applyFill="1" applyBorder="1"/>
    <xf numFmtId="0" fontId="21" fillId="5" borderId="28" xfId="0" applyFont="1" applyFill="1" applyBorder="1"/>
    <xf numFmtId="0" fontId="21" fillId="5" borderId="54" xfId="0" applyFont="1" applyFill="1" applyBorder="1"/>
    <xf numFmtId="4" fontId="25" fillId="6" borderId="25" xfId="0" applyNumberFormat="1" applyFont="1" applyFill="1" applyBorder="1" applyAlignment="1">
      <alignment horizontal="center"/>
    </xf>
    <xf numFmtId="0" fontId="21" fillId="0" borderId="61" xfId="0" applyFont="1" applyFill="1" applyBorder="1" applyAlignment="1">
      <alignment wrapText="1"/>
    </xf>
    <xf numFmtId="0" fontId="21" fillId="0" borderId="51" xfId="0" applyFont="1" applyFill="1" applyBorder="1"/>
    <xf numFmtId="0" fontId="21" fillId="0" borderId="34" xfId="0" applyFont="1" applyFill="1" applyBorder="1"/>
    <xf numFmtId="0" fontId="0" fillId="0" borderId="42" xfId="0" applyBorder="1" applyAlignment="1">
      <alignment horizontal="right" vertical="center"/>
    </xf>
    <xf numFmtId="0" fontId="0" fillId="0" borderId="70" xfId="0" applyBorder="1" applyAlignment="1">
      <alignment vertical="top"/>
    </xf>
    <xf numFmtId="0" fontId="3" fillId="2" borderId="25" xfId="0" applyFont="1" applyFill="1" applyBorder="1" applyAlignment="1">
      <alignment horizontal="center" vertical="center" wrapText="1"/>
    </xf>
    <xf numFmtId="0" fontId="21" fillId="0" borderId="58" xfId="0" applyFont="1" applyFill="1" applyBorder="1"/>
    <xf numFmtId="9" fontId="21" fillId="0" borderId="5" xfId="0" applyNumberFormat="1" applyFont="1" applyFill="1" applyBorder="1"/>
    <xf numFmtId="9" fontId="21" fillId="0" borderId="6" xfId="0" applyNumberFormat="1" applyFont="1" applyFill="1" applyBorder="1"/>
    <xf numFmtId="9" fontId="21" fillId="0" borderId="7" xfId="0" applyNumberFormat="1" applyFont="1" applyFill="1" applyBorder="1"/>
    <xf numFmtId="4" fontId="25" fillId="6" borderId="29" xfId="0" applyNumberFormat="1" applyFont="1" applyFill="1" applyBorder="1" applyAlignment="1">
      <alignment horizontal="center"/>
    </xf>
    <xf numFmtId="0" fontId="21" fillId="0" borderId="10" xfId="0" applyFont="1" applyFill="1" applyBorder="1"/>
    <xf numFmtId="4" fontId="25" fillId="6" borderId="29" xfId="0" applyNumberFormat="1" applyFont="1" applyFill="1" applyBorder="1" applyAlignment="1">
      <alignment horizontal="center"/>
    </xf>
    <xf numFmtId="4" fontId="25" fillId="6" borderId="29" xfId="0" applyNumberFormat="1" applyFont="1" applyFill="1" applyBorder="1" applyAlignment="1">
      <alignment horizontal="center"/>
    </xf>
    <xf numFmtId="0" fontId="27" fillId="8" borderId="5" xfId="0" applyFont="1" applyFill="1" applyBorder="1" applyAlignment="1">
      <alignment horizontal="left" vertical="center"/>
    </xf>
    <xf numFmtId="0" fontId="9" fillId="0" borderId="6" xfId="0" applyFont="1" applyBorder="1"/>
    <xf numFmtId="9" fontId="9" fillId="0" borderId="6" xfId="1" applyFont="1" applyBorder="1"/>
    <xf numFmtId="0" fontId="19" fillId="8" borderId="8" xfId="0" applyFont="1" applyFill="1" applyBorder="1" applyAlignment="1">
      <alignment horizontal="left" vertical="center"/>
    </xf>
    <xf numFmtId="0" fontId="19" fillId="8" borderId="11" xfId="0" applyFont="1" applyFill="1" applyBorder="1" applyAlignment="1">
      <alignment horizontal="left" vertical="center"/>
    </xf>
    <xf numFmtId="0" fontId="9" fillId="0" borderId="12" xfId="0" applyFont="1" applyBorder="1"/>
    <xf numFmtId="9" fontId="9" fillId="0" borderId="12" xfId="1" applyFont="1" applyBorder="1"/>
    <xf numFmtId="0" fontId="0" fillId="0" borderId="48" xfId="0" applyBorder="1"/>
    <xf numFmtId="0" fontId="3" fillId="2" borderId="15" xfId="0" applyFont="1" applyFill="1" applyBorder="1" applyAlignment="1">
      <alignment vertical="center" wrapText="1"/>
    </xf>
    <xf numFmtId="0" fontId="3" fillId="2" borderId="15" xfId="0" applyFont="1" applyFill="1" applyBorder="1" applyAlignment="1">
      <alignment horizontal="center" vertical="center" wrapText="1"/>
    </xf>
    <xf numFmtId="0" fontId="3" fillId="0" borderId="73" xfId="0" applyFont="1" applyFill="1" applyBorder="1"/>
    <xf numFmtId="0" fontId="3" fillId="2" borderId="72" xfId="0" applyFont="1" applyFill="1" applyBorder="1" applyAlignment="1">
      <alignment horizontal="center" vertical="center" wrapText="1"/>
    </xf>
    <xf numFmtId="0" fontId="3" fillId="0" borderId="55" xfId="0" applyFont="1" applyBorder="1" applyAlignment="1"/>
    <xf numFmtId="0" fontId="0" fillId="0" borderId="53" xfId="0" applyBorder="1" applyAlignment="1"/>
    <xf numFmtId="164" fontId="4" fillId="0" borderId="71" xfId="0" applyNumberFormat="1" applyFont="1" applyFill="1" applyBorder="1" applyAlignment="1">
      <alignment horizontal="center" vertical="center"/>
    </xf>
    <xf numFmtId="164" fontId="4" fillId="0" borderId="37" xfId="0" applyNumberFormat="1" applyFont="1" applyFill="1" applyBorder="1" applyAlignment="1">
      <alignment horizontal="center" vertical="center"/>
    </xf>
    <xf numFmtId="164" fontId="4" fillId="0" borderId="74" xfId="0" applyNumberFormat="1" applyFont="1" applyFill="1" applyBorder="1" applyAlignment="1">
      <alignment horizontal="center" vertical="center"/>
    </xf>
    <xf numFmtId="164" fontId="4" fillId="0" borderId="44" xfId="0" applyNumberFormat="1" applyFont="1" applyFill="1" applyBorder="1" applyAlignment="1">
      <alignment horizontal="center" vertical="center"/>
    </xf>
    <xf numFmtId="164" fontId="25" fillId="6" borderId="25" xfId="0" applyNumberFormat="1" applyFont="1" applyFill="1" applyBorder="1" applyAlignment="1">
      <alignment horizontal="center"/>
    </xf>
    <xf numFmtId="0" fontId="27" fillId="8" borderId="14" xfId="0" applyFont="1" applyFill="1" applyBorder="1" applyAlignment="1">
      <alignment horizontal="left" vertical="center"/>
    </xf>
    <xf numFmtId="0" fontId="9" fillId="0" borderId="20" xfId="0" applyFont="1" applyBorder="1"/>
    <xf numFmtId="9" fontId="9" fillId="0" borderId="20" xfId="1" applyFont="1" applyBorder="1"/>
    <xf numFmtId="0" fontId="0" fillId="0" borderId="13" xfId="0" applyBorder="1"/>
    <xf numFmtId="0" fontId="3" fillId="0" borderId="52" xfId="0" applyFont="1" applyBorder="1" applyAlignment="1"/>
    <xf numFmtId="0" fontId="4" fillId="0" borderId="34" xfId="0" applyNumberFormat="1" applyFont="1" applyFill="1" applyBorder="1" applyAlignment="1">
      <alignment horizontal="center" vertical="center"/>
    </xf>
    <xf numFmtId="0" fontId="3" fillId="2" borderId="72" xfId="0" applyFont="1" applyFill="1" applyBorder="1" applyAlignment="1">
      <alignment horizontal="center" wrapText="1"/>
    </xf>
    <xf numFmtId="0" fontId="4" fillId="0" borderId="73" xfId="0" applyNumberFormat="1" applyFont="1" applyFill="1" applyBorder="1" applyAlignment="1">
      <alignment horizontal="center" vertical="center"/>
    </xf>
    <xf numFmtId="0" fontId="4" fillId="0" borderId="74" xfId="0" applyNumberFormat="1" applyFont="1" applyFill="1" applyBorder="1" applyAlignment="1">
      <alignment horizontal="center" vertical="center"/>
    </xf>
    <xf numFmtId="0" fontId="0" fillId="0" borderId="14" xfId="0" applyFill="1" applyBorder="1" applyAlignment="1">
      <alignment horizontal="right" vertical="center"/>
    </xf>
    <xf numFmtId="0" fontId="4" fillId="0" borderId="71" xfId="0" applyNumberFormat="1" applyFont="1" applyFill="1" applyBorder="1" applyAlignment="1">
      <alignment horizontal="center" vertical="center"/>
    </xf>
    <xf numFmtId="0" fontId="4" fillId="0" borderId="65" xfId="0" applyNumberFormat="1" applyFont="1" applyFill="1" applyBorder="1" applyAlignment="1">
      <alignment horizontal="center" vertical="center"/>
    </xf>
    <xf numFmtId="0" fontId="0" fillId="0" borderId="33" xfId="0" applyFill="1" applyBorder="1" applyAlignment="1">
      <alignment vertical="top"/>
    </xf>
    <xf numFmtId="0" fontId="6" fillId="0" borderId="20" xfId="0" applyFont="1" applyFill="1" applyBorder="1"/>
    <xf numFmtId="0" fontId="11" fillId="0" borderId="20" xfId="0" applyFont="1" applyFill="1" applyBorder="1"/>
    <xf numFmtId="0" fontId="13" fillId="0" borderId="20" xfId="0" applyFont="1" applyFill="1" applyBorder="1" applyAlignment="1">
      <alignment horizontal="right"/>
    </xf>
    <xf numFmtId="0" fontId="13" fillId="0" borderId="39" xfId="0" applyFont="1" applyFill="1" applyBorder="1"/>
    <xf numFmtId="0" fontId="8" fillId="0" borderId="27" xfId="0" applyFont="1" applyFill="1" applyBorder="1" applyAlignment="1">
      <alignment horizontal="left" vertical="center"/>
    </xf>
    <xf numFmtId="0" fontId="8" fillId="0" borderId="31" xfId="0" applyFont="1" applyFill="1" applyBorder="1" applyAlignment="1">
      <alignment vertical="center"/>
    </xf>
    <xf numFmtId="0" fontId="8" fillId="0" borderId="31" xfId="0" applyFont="1" applyFill="1" applyBorder="1" applyAlignment="1">
      <alignment vertical="center" wrapText="1"/>
    </xf>
    <xf numFmtId="0" fontId="10" fillId="0" borderId="64" xfId="0" applyFont="1" applyFill="1" applyBorder="1" applyAlignment="1">
      <alignment vertical="center" wrapText="1"/>
    </xf>
    <xf numFmtId="0" fontId="12" fillId="0" borderId="27" xfId="0" applyFont="1" applyFill="1" applyBorder="1" applyAlignment="1">
      <alignment horizontal="right" textRotation="90" wrapText="1"/>
    </xf>
    <xf numFmtId="0" fontId="12" fillId="0" borderId="31" xfId="0" applyFont="1" applyFill="1" applyBorder="1" applyAlignment="1">
      <alignment horizontal="right" textRotation="90" wrapText="1"/>
    </xf>
    <xf numFmtId="0" fontId="12" fillId="0" borderId="32" xfId="0" applyFont="1" applyFill="1" applyBorder="1" applyAlignment="1">
      <alignment horizontal="center" textRotation="90" wrapText="1"/>
    </xf>
    <xf numFmtId="0" fontId="4" fillId="0" borderId="39" xfId="0" applyFont="1" applyFill="1" applyBorder="1"/>
    <xf numFmtId="0" fontId="3" fillId="0" borderId="50" xfId="0" applyFont="1" applyFill="1" applyBorder="1" applyAlignment="1">
      <alignment horizontal="center" vertical="center"/>
    </xf>
    <xf numFmtId="0" fontId="12" fillId="0" borderId="32" xfId="0" applyFont="1" applyFill="1" applyBorder="1" applyAlignment="1">
      <alignment horizontal="right" textRotation="90" wrapText="1"/>
    </xf>
    <xf numFmtId="1" fontId="0" fillId="0" borderId="5" xfId="0" applyNumberFormat="1" applyBorder="1"/>
    <xf numFmtId="1" fontId="0" fillId="0" borderId="6" xfId="0" applyNumberFormat="1" applyBorder="1"/>
    <xf numFmtId="1" fontId="0" fillId="0" borderId="7" xfId="0" applyNumberFormat="1" applyBorder="1"/>
    <xf numFmtId="1" fontId="0" fillId="0" borderId="8" xfId="0" applyNumberFormat="1" applyBorder="1"/>
    <xf numFmtId="1" fontId="0" fillId="0" borderId="9" xfId="0" applyNumberFormat="1" applyBorder="1"/>
    <xf numFmtId="1" fontId="0" fillId="0" borderId="10" xfId="0" applyNumberFormat="1" applyBorder="1"/>
    <xf numFmtId="1" fontId="0" fillId="0" borderId="11" xfId="0" applyNumberFormat="1" applyBorder="1"/>
    <xf numFmtId="1" fontId="0" fillId="0" borderId="12" xfId="0" applyNumberFormat="1" applyBorder="1"/>
    <xf numFmtId="1" fontId="0" fillId="0" borderId="13" xfId="0" applyNumberFormat="1" applyBorder="1"/>
    <xf numFmtId="0" fontId="30" fillId="0" borderId="32" xfId="0" applyFont="1" applyFill="1" applyBorder="1" applyAlignment="1">
      <alignment horizontal="right" textRotation="90" wrapText="1"/>
    </xf>
    <xf numFmtId="1" fontId="0" fillId="0" borderId="27" xfId="0" applyNumberFormat="1" applyBorder="1"/>
    <xf numFmtId="1" fontId="0" fillId="0" borderId="31" xfId="0" applyNumberFormat="1" applyBorder="1"/>
    <xf numFmtId="1" fontId="0" fillId="0" borderId="64" xfId="0" applyNumberFormat="1" applyBorder="1"/>
    <xf numFmtId="1" fontId="0" fillId="9" borderId="25" xfId="0" applyNumberFormat="1" applyFill="1" applyBorder="1"/>
    <xf numFmtId="0" fontId="4" fillId="0" borderId="14" xfId="0" applyNumberFormat="1" applyFont="1" applyFill="1" applyBorder="1" applyAlignment="1">
      <alignment vertical="center"/>
    </xf>
    <xf numFmtId="0" fontId="4" fillId="0" borderId="39" xfId="0" applyNumberFormat="1" applyFont="1" applyFill="1" applyBorder="1" applyAlignment="1">
      <alignment vertical="center"/>
    </xf>
    <xf numFmtId="0" fontId="4" fillId="0" borderId="27" xfId="0" applyNumberFormat="1" applyFont="1" applyFill="1" applyBorder="1" applyAlignment="1">
      <alignment vertical="center"/>
    </xf>
    <xf numFmtId="0" fontId="4" fillId="0" borderId="32" xfId="0" applyNumberFormat="1" applyFont="1" applyFill="1" applyBorder="1" applyAlignment="1">
      <alignment vertical="center"/>
    </xf>
    <xf numFmtId="164" fontId="4" fillId="0" borderId="14" xfId="0" applyNumberFormat="1" applyFont="1" applyFill="1" applyBorder="1" applyAlignment="1">
      <alignment vertical="center"/>
    </xf>
    <xf numFmtId="164" fontId="4" fillId="0" borderId="39" xfId="0" applyNumberFormat="1" applyFont="1" applyFill="1" applyBorder="1" applyAlignment="1">
      <alignment vertical="center"/>
    </xf>
    <xf numFmtId="164" fontId="4" fillId="0" borderId="27" xfId="0" applyNumberFormat="1" applyFont="1" applyFill="1" applyBorder="1" applyAlignment="1">
      <alignment vertical="center"/>
    </xf>
    <xf numFmtId="164" fontId="4" fillId="0" borderId="32" xfId="0" applyNumberFormat="1" applyFont="1" applyFill="1" applyBorder="1" applyAlignment="1">
      <alignment vertical="center"/>
    </xf>
    <xf numFmtId="0" fontId="3" fillId="2" borderId="27" xfId="0" applyFont="1" applyFill="1" applyBorder="1" applyAlignment="1">
      <alignment horizontal="center" vertical="center" wrapText="1"/>
    </xf>
    <xf numFmtId="0" fontId="3" fillId="2" borderId="32" xfId="0" applyFont="1" applyFill="1" applyBorder="1" applyAlignment="1">
      <alignment horizontal="center" vertical="center" wrapText="1"/>
    </xf>
    <xf numFmtId="0" fontId="0" fillId="0" borderId="65" xfId="0" applyBorder="1" applyAlignment="1">
      <alignment horizontal="right"/>
    </xf>
    <xf numFmtId="0" fontId="0" fillId="0" borderId="62" xfId="0" applyBorder="1" applyAlignment="1">
      <alignment horizontal="right"/>
    </xf>
    <xf numFmtId="0" fontId="0" fillId="0" borderId="36" xfId="0" applyBorder="1" applyAlignment="1">
      <alignment horizontal="right"/>
    </xf>
    <xf numFmtId="0" fontId="0" fillId="0" borderId="73" xfId="0" applyBorder="1" applyAlignment="1">
      <alignment horizontal="right"/>
    </xf>
    <xf numFmtId="0" fontId="8" fillId="0" borderId="0" xfId="0" applyFont="1" applyFill="1" applyBorder="1" applyAlignment="1">
      <alignment vertical="top" wrapText="1"/>
    </xf>
    <xf numFmtId="0" fontId="8" fillId="2" borderId="2" xfId="0" applyFont="1" applyFill="1" applyBorder="1" applyAlignment="1">
      <alignment vertical="top" wrapText="1"/>
    </xf>
    <xf numFmtId="0" fontId="0" fillId="2" borderId="3" xfId="0" applyFill="1" applyBorder="1" applyAlignment="1"/>
    <xf numFmtId="0" fontId="0" fillId="2" borderId="28" xfId="0" applyFill="1" applyBorder="1" applyAlignment="1"/>
    <xf numFmtId="0" fontId="0" fillId="0" borderId="5" xfId="0" applyBorder="1" applyAlignment="1"/>
    <xf numFmtId="0" fontId="0" fillId="0" borderId="6" xfId="0" applyBorder="1" applyAlignment="1"/>
    <xf numFmtId="0" fontId="18" fillId="0" borderId="6" xfId="0" applyFont="1" applyBorder="1" applyAlignment="1"/>
    <xf numFmtId="0" fontId="18" fillId="0" borderId="7" xfId="0" applyFont="1" applyBorder="1" applyAlignment="1"/>
    <xf numFmtId="0" fontId="0" fillId="0" borderId="11" xfId="0" applyBorder="1" applyAlignment="1"/>
    <xf numFmtId="0" fontId="0" fillId="0" borderId="12" xfId="0" applyBorder="1" applyAlignment="1"/>
    <xf numFmtId="0" fontId="18" fillId="0" borderId="12" xfId="0" applyFont="1" applyBorder="1" applyAlignment="1"/>
    <xf numFmtId="0" fontId="18" fillId="0" borderId="13" xfId="0" applyFont="1" applyBorder="1" applyAlignment="1"/>
    <xf numFmtId="0" fontId="8" fillId="2" borderId="11" xfId="0" applyFont="1" applyFill="1" applyBorder="1" applyAlignment="1">
      <alignment vertical="top" wrapText="1"/>
    </xf>
    <xf numFmtId="0" fontId="3" fillId="0" borderId="48" xfId="0" applyFont="1" applyBorder="1" applyAlignment="1"/>
    <xf numFmtId="0" fontId="18" fillId="0" borderId="11" xfId="0" applyFont="1" applyBorder="1" applyAlignment="1"/>
    <xf numFmtId="0" fontId="8" fillId="2" borderId="8" xfId="0" applyFont="1" applyFill="1" applyBorder="1" applyAlignment="1">
      <alignment vertical="top" wrapText="1"/>
    </xf>
    <xf numFmtId="0" fontId="3" fillId="0" borderId="47" xfId="0" applyFont="1" applyBorder="1" applyAlignment="1"/>
    <xf numFmtId="14" fontId="18" fillId="0" borderId="8" xfId="0" applyNumberFormat="1" applyFont="1" applyBorder="1" applyAlignment="1"/>
    <xf numFmtId="0" fontId="18" fillId="0" borderId="9" xfId="0" applyFont="1" applyBorder="1" applyAlignment="1"/>
    <xf numFmtId="0" fontId="18" fillId="0" borderId="10" xfId="0" applyFont="1" applyBorder="1" applyAlignment="1"/>
    <xf numFmtId="0" fontId="18" fillId="0" borderId="8" xfId="0" applyFont="1" applyBorder="1" applyAlignment="1"/>
    <xf numFmtId="0" fontId="8" fillId="2" borderId="5" xfId="0" applyFont="1" applyFill="1" applyBorder="1" applyAlignment="1">
      <alignment vertical="top" wrapText="1"/>
    </xf>
    <xf numFmtId="0" fontId="3" fillId="0" borderId="57" xfId="0" applyFont="1" applyBorder="1" applyAlignment="1"/>
    <xf numFmtId="0" fontId="18" fillId="0" borderId="5" xfId="0" applyFont="1" applyBorder="1" applyAlignment="1"/>
    <xf numFmtId="0" fontId="4" fillId="0" borderId="27" xfId="0" applyFont="1" applyBorder="1" applyAlignment="1">
      <alignment horizontal="center"/>
    </xf>
    <xf numFmtId="0" fontId="4" fillId="0" borderId="31" xfId="0" applyFont="1" applyBorder="1" applyAlignment="1">
      <alignment horizontal="center"/>
    </xf>
    <xf numFmtId="0" fontId="4" fillId="0" borderId="32" xfId="0" applyFont="1" applyBorder="1" applyAlignment="1">
      <alignment horizontal="center"/>
    </xf>
    <xf numFmtId="0" fontId="3" fillId="2" borderId="66" xfId="0" applyFont="1" applyFill="1" applyBorder="1" applyAlignment="1">
      <alignment horizontal="center"/>
    </xf>
    <xf numFmtId="0" fontId="3" fillId="2" borderId="59" xfId="0" applyFont="1" applyFill="1" applyBorder="1" applyAlignment="1">
      <alignment horizontal="center"/>
    </xf>
    <xf numFmtId="0" fontId="3" fillId="2" borderId="61" xfId="0" applyFont="1" applyFill="1" applyBorder="1" applyAlignment="1">
      <alignment horizontal="center"/>
    </xf>
    <xf numFmtId="0" fontId="4" fillId="0" borderId="47" xfId="0" applyFont="1" applyBorder="1" applyAlignment="1">
      <alignment horizontal="left" vertical="top"/>
    </xf>
    <xf numFmtId="0" fontId="0" fillId="0" borderId="58" xfId="0" applyBorder="1" applyAlignment="1">
      <alignment horizontal="left" vertical="top"/>
    </xf>
    <xf numFmtId="0" fontId="12" fillId="0" borderId="66" xfId="0" applyFont="1" applyFill="1" applyBorder="1" applyAlignment="1">
      <alignment horizontal="center" vertical="center"/>
    </xf>
    <xf numFmtId="0" fontId="12" fillId="0" borderId="59" xfId="0" applyFont="1" applyFill="1" applyBorder="1" applyAlignment="1">
      <alignment horizontal="center" vertical="center"/>
    </xf>
    <xf numFmtId="0" fontId="12" fillId="0" borderId="61" xfId="0" applyFont="1" applyFill="1" applyBorder="1" applyAlignment="1">
      <alignment horizontal="center" vertical="center"/>
    </xf>
    <xf numFmtId="0" fontId="4" fillId="0" borderId="47" xfId="0" applyFont="1" applyFill="1" applyBorder="1" applyAlignment="1">
      <alignment horizontal="left" vertical="top"/>
    </xf>
    <xf numFmtId="0" fontId="0" fillId="0" borderId="58" xfId="0" applyFill="1" applyBorder="1" applyAlignment="1">
      <alignment horizontal="left" vertical="top"/>
    </xf>
    <xf numFmtId="0" fontId="0" fillId="0" borderId="64" xfId="0" applyBorder="1" applyAlignment="1">
      <alignment horizontal="left" vertical="top"/>
    </xf>
    <xf numFmtId="0" fontId="0" fillId="0" borderId="60" xfId="0" applyBorder="1" applyAlignment="1">
      <alignment horizontal="left" vertical="top"/>
    </xf>
    <xf numFmtId="0" fontId="28" fillId="2" borderId="2" xfId="0" applyFont="1" applyFill="1" applyBorder="1" applyAlignment="1">
      <alignment horizontal="center" vertical="center"/>
    </xf>
    <xf numFmtId="0" fontId="29" fillId="0" borderId="49" xfId="0" applyFont="1" applyBorder="1" applyAlignment="1">
      <alignment horizontal="center"/>
    </xf>
    <xf numFmtId="0" fontId="3" fillId="2" borderId="4" xfId="0" applyFont="1" applyFill="1" applyBorder="1" applyAlignment="1">
      <alignment horizontal="left" vertical="center"/>
    </xf>
    <xf numFmtId="0" fontId="0" fillId="0" borderId="59" xfId="0" applyBorder="1"/>
    <xf numFmtId="0" fontId="0" fillId="0" borderId="45" xfId="0" applyBorder="1"/>
    <xf numFmtId="0" fontId="0" fillId="0" borderId="40" xfId="0" applyBorder="1"/>
    <xf numFmtId="0" fontId="4" fillId="0" borderId="18" xfId="0" applyNumberFormat="1" applyFont="1" applyFill="1" applyBorder="1" applyAlignment="1">
      <alignment horizontal="left" vertical="center"/>
    </xf>
    <xf numFmtId="0" fontId="4" fillId="0" borderId="15" xfId="0" applyNumberFormat="1" applyFont="1" applyFill="1" applyBorder="1" applyAlignment="1">
      <alignment horizontal="left" vertical="center"/>
    </xf>
    <xf numFmtId="0" fontId="4" fillId="0" borderId="30" xfId="0" applyNumberFormat="1" applyFont="1" applyFill="1" applyBorder="1" applyAlignment="1">
      <alignment horizontal="left" vertical="center"/>
    </xf>
    <xf numFmtId="0" fontId="4" fillId="0" borderId="27" xfId="0" applyNumberFormat="1" applyFont="1" applyFill="1" applyBorder="1" applyAlignment="1">
      <alignment horizontal="left" vertical="center"/>
    </xf>
    <xf numFmtId="0" fontId="4" fillId="0" borderId="31" xfId="0" applyNumberFormat="1" applyFont="1" applyFill="1" applyBorder="1" applyAlignment="1">
      <alignment horizontal="left" vertical="center"/>
    </xf>
    <xf numFmtId="0" fontId="4" fillId="0" borderId="32" xfId="0" applyNumberFormat="1" applyFont="1" applyFill="1" applyBorder="1" applyAlignment="1">
      <alignment horizontal="left" vertical="center"/>
    </xf>
    <xf numFmtId="0" fontId="21" fillId="7" borderId="66" xfId="0" applyFont="1" applyFill="1" applyBorder="1" applyAlignment="1">
      <alignment horizontal="center" vertical="center"/>
    </xf>
    <xf numFmtId="0" fontId="21" fillId="7" borderId="59" xfId="0" applyFont="1" applyFill="1" applyBorder="1" applyAlignment="1">
      <alignment horizontal="center" vertical="center"/>
    </xf>
    <xf numFmtId="0" fontId="21" fillId="7" borderId="61" xfId="0" applyFont="1" applyFill="1" applyBorder="1" applyAlignment="1">
      <alignment horizontal="center" vertical="center"/>
    </xf>
    <xf numFmtId="0" fontId="4" fillId="0" borderId="24" xfId="0" applyFont="1" applyBorder="1" applyAlignment="1">
      <alignment horizontal="left" vertical="top"/>
    </xf>
    <xf numFmtId="0" fontId="0" fillId="0" borderId="63" xfId="0" applyBorder="1" applyAlignment="1">
      <alignment horizontal="left" vertical="top"/>
    </xf>
    <xf numFmtId="0" fontId="3" fillId="2" borderId="2" xfId="0" applyFont="1" applyFill="1" applyBorder="1" applyAlignment="1">
      <alignment horizontal="right" vertical="center"/>
    </xf>
    <xf numFmtId="0" fontId="0" fillId="0" borderId="49" xfId="0" applyBorder="1" applyAlignment="1">
      <alignment horizontal="right"/>
    </xf>
    <xf numFmtId="0" fontId="4" fillId="0" borderId="41" xfId="0" applyNumberFormat="1" applyFont="1" applyFill="1" applyBorder="1" applyAlignment="1">
      <alignment horizontal="left" vertical="center"/>
    </xf>
    <xf numFmtId="0" fontId="4" fillId="0" borderId="9" xfId="0" applyNumberFormat="1" applyFont="1" applyFill="1" applyBorder="1" applyAlignment="1">
      <alignment horizontal="left" vertical="center"/>
    </xf>
    <xf numFmtId="0" fontId="4" fillId="0" borderId="10" xfId="0" applyNumberFormat="1" applyFont="1" applyFill="1" applyBorder="1" applyAlignment="1">
      <alignment horizontal="left" vertical="center"/>
    </xf>
    <xf numFmtId="0" fontId="21" fillId="7" borderId="2" xfId="0" applyFont="1" applyFill="1" applyBorder="1" applyAlignment="1">
      <alignment horizontal="center" vertical="center"/>
    </xf>
    <xf numFmtId="0" fontId="21" fillId="7" borderId="26" xfId="0" applyFont="1" applyFill="1" applyBorder="1" applyAlignment="1">
      <alignment horizontal="center" vertical="center"/>
    </xf>
    <xf numFmtId="0" fontId="21" fillId="7" borderId="3" xfId="0" applyFont="1" applyFill="1" applyBorder="1" applyAlignment="1">
      <alignment horizontal="center" vertical="center"/>
    </xf>
    <xf numFmtId="0" fontId="21" fillId="7" borderId="28" xfId="0" applyFont="1" applyFill="1" applyBorder="1" applyAlignment="1">
      <alignment horizontal="center" vertical="center"/>
    </xf>
    <xf numFmtId="0" fontId="3" fillId="2" borderId="44" xfId="0" applyFont="1" applyFill="1" applyBorder="1" applyAlignment="1">
      <alignment horizontal="center" vertical="center"/>
    </xf>
    <xf numFmtId="0" fontId="3" fillId="2" borderId="40" xfId="0" applyFont="1" applyFill="1" applyBorder="1" applyAlignment="1">
      <alignment horizontal="center" vertical="center"/>
    </xf>
    <xf numFmtId="0" fontId="3" fillId="2" borderId="62" xfId="0" applyFont="1" applyFill="1" applyBorder="1" applyAlignment="1">
      <alignment horizontal="center" vertical="center"/>
    </xf>
    <xf numFmtId="164" fontId="25" fillId="6" borderId="53" xfId="0" applyNumberFormat="1" applyFont="1" applyFill="1" applyBorder="1" applyAlignment="1">
      <alignment horizontal="center"/>
    </xf>
    <xf numFmtId="164" fontId="25" fillId="6" borderId="29" xfId="0" applyNumberFormat="1" applyFont="1" applyFill="1" applyBorder="1" applyAlignment="1">
      <alignment horizontal="center"/>
    </xf>
    <xf numFmtId="0" fontId="4" fillId="0" borderId="66" xfId="0" applyFont="1" applyBorder="1" applyAlignment="1">
      <alignment horizontal="center" vertical="center"/>
    </xf>
    <xf numFmtId="0" fontId="4" fillId="0" borderId="59" xfId="0" applyFont="1" applyBorder="1" applyAlignment="1">
      <alignment horizontal="center" vertical="center"/>
    </xf>
    <xf numFmtId="0" fontId="4" fillId="0" borderId="61" xfId="0" applyFont="1" applyBorder="1" applyAlignment="1">
      <alignment horizontal="center" vertical="center"/>
    </xf>
    <xf numFmtId="0" fontId="4" fillId="0" borderId="46" xfId="0" applyFont="1" applyBorder="1" applyAlignment="1">
      <alignment horizontal="center" vertical="center"/>
    </xf>
    <xf numFmtId="0" fontId="4" fillId="0" borderId="0" xfId="0" applyFont="1" applyBorder="1" applyAlignment="1">
      <alignment horizontal="center" vertical="center"/>
    </xf>
    <xf numFmtId="0" fontId="4" fillId="0" borderId="65" xfId="0" applyFont="1" applyBorder="1" applyAlignment="1">
      <alignment horizontal="center" vertical="center"/>
    </xf>
    <xf numFmtId="0" fontId="4" fillId="0" borderId="44" xfId="0" applyFont="1" applyBorder="1" applyAlignment="1">
      <alignment horizontal="center" vertical="center"/>
    </xf>
    <xf numFmtId="0" fontId="4" fillId="0" borderId="40" xfId="0" applyFont="1" applyBorder="1" applyAlignment="1">
      <alignment horizontal="center" vertical="center"/>
    </xf>
    <xf numFmtId="0" fontId="4" fillId="0" borderId="62" xfId="0" applyFont="1" applyBorder="1" applyAlignment="1">
      <alignment horizontal="center" vertical="center"/>
    </xf>
    <xf numFmtId="4" fontId="21" fillId="0" borderId="5" xfId="0" applyNumberFormat="1" applyFont="1" applyFill="1" applyBorder="1" applyAlignment="1">
      <alignment horizontal="center"/>
    </xf>
    <xf numFmtId="4" fontId="21" fillId="0" borderId="6" xfId="0" applyNumberFormat="1" applyFont="1" applyFill="1" applyBorder="1" applyAlignment="1">
      <alignment horizontal="center"/>
    </xf>
    <xf numFmtId="4" fontId="21" fillId="0" borderId="57" xfId="0" applyNumberFormat="1" applyFont="1" applyFill="1" applyBorder="1" applyAlignment="1">
      <alignment horizontal="center"/>
    </xf>
    <xf numFmtId="4" fontId="21" fillId="0" borderId="7" xfId="0" applyNumberFormat="1" applyFont="1" applyFill="1" applyBorder="1" applyAlignment="1">
      <alignment horizontal="center"/>
    </xf>
    <xf numFmtId="4" fontId="21" fillId="0" borderId="55" xfId="0" applyNumberFormat="1" applyFont="1" applyFill="1" applyBorder="1" applyAlignment="1">
      <alignment horizontal="center"/>
    </xf>
    <xf numFmtId="4" fontId="21" fillId="0" borderId="67" xfId="0" applyNumberFormat="1" applyFont="1" applyFill="1" applyBorder="1" applyAlignment="1">
      <alignment horizontal="center"/>
    </xf>
    <xf numFmtId="4" fontId="21" fillId="0" borderId="68" xfId="0" applyNumberFormat="1" applyFont="1" applyFill="1" applyBorder="1" applyAlignment="1">
      <alignment horizontal="center"/>
    </xf>
    <xf numFmtId="4" fontId="25" fillId="6" borderId="53" xfId="0" applyNumberFormat="1" applyFont="1" applyFill="1" applyBorder="1" applyAlignment="1">
      <alignment horizontal="center"/>
    </xf>
    <xf numFmtId="4" fontId="25" fillId="6" borderId="60" xfId="0" applyNumberFormat="1" applyFont="1" applyFill="1" applyBorder="1" applyAlignment="1">
      <alignment horizontal="center"/>
    </xf>
    <xf numFmtId="4" fontId="25" fillId="6" borderId="29" xfId="0" applyNumberFormat="1" applyFont="1" applyFill="1" applyBorder="1" applyAlignment="1">
      <alignment horizontal="center"/>
    </xf>
    <xf numFmtId="2" fontId="21" fillId="0" borderId="44" xfId="0" applyNumberFormat="1" applyFont="1" applyFill="1" applyBorder="1" applyAlignment="1">
      <alignment horizontal="center" vertical="center"/>
    </xf>
    <xf numFmtId="2" fontId="21" fillId="0" borderId="40" xfId="0" applyNumberFormat="1" applyFont="1" applyFill="1" applyBorder="1" applyAlignment="1">
      <alignment horizontal="center" vertical="center"/>
    </xf>
    <xf numFmtId="2" fontId="21" fillId="0" borderId="62" xfId="0" applyNumberFormat="1" applyFont="1" applyFill="1" applyBorder="1" applyAlignment="1">
      <alignment horizontal="center" vertical="center"/>
    </xf>
    <xf numFmtId="2" fontId="21" fillId="0" borderId="53" xfId="0" applyNumberFormat="1" applyFont="1" applyFill="1" applyBorder="1" applyAlignment="1">
      <alignment horizontal="center" vertical="center"/>
    </xf>
    <xf numFmtId="2" fontId="21" fillId="0" borderId="60" xfId="0" applyNumberFormat="1" applyFont="1" applyFill="1" applyBorder="1" applyAlignment="1">
      <alignment horizontal="center" vertical="center"/>
    </xf>
    <xf numFmtId="2" fontId="21" fillId="0" borderId="29" xfId="0" applyNumberFormat="1" applyFont="1" applyFill="1" applyBorder="1" applyAlignment="1">
      <alignment horizontal="center" vertical="center"/>
    </xf>
    <xf numFmtId="0" fontId="3" fillId="2" borderId="66" xfId="0" applyFont="1" applyFill="1" applyBorder="1" applyAlignment="1">
      <alignment horizontal="center" vertical="center"/>
    </xf>
    <xf numFmtId="0" fontId="3" fillId="2" borderId="59" xfId="0" applyFont="1" applyFill="1" applyBorder="1" applyAlignment="1">
      <alignment horizontal="center" vertical="center"/>
    </xf>
    <xf numFmtId="0" fontId="3" fillId="2" borderId="61" xfId="0" applyFont="1" applyFill="1" applyBorder="1" applyAlignment="1">
      <alignment horizontal="center" vertical="center"/>
    </xf>
    <xf numFmtId="0" fontId="0" fillId="0" borderId="66" xfId="0" applyBorder="1" applyAlignment="1">
      <alignment horizontal="center" vertical="center"/>
    </xf>
    <xf numFmtId="0" fontId="0" fillId="0" borderId="59" xfId="0" applyBorder="1" applyAlignment="1">
      <alignment horizontal="center" vertical="center"/>
    </xf>
    <xf numFmtId="0" fontId="0" fillId="0" borderId="61" xfId="0" applyBorder="1" applyAlignment="1">
      <alignment horizontal="center" vertical="center"/>
    </xf>
    <xf numFmtId="0" fontId="0" fillId="0" borderId="46" xfId="0" applyBorder="1" applyAlignment="1">
      <alignment horizontal="center" vertical="center"/>
    </xf>
    <xf numFmtId="0" fontId="0" fillId="0" borderId="0" xfId="0" applyBorder="1" applyAlignment="1">
      <alignment horizontal="center" vertical="center"/>
    </xf>
    <xf numFmtId="0" fontId="0" fillId="0" borderId="65" xfId="0" applyBorder="1" applyAlignment="1">
      <alignment horizontal="center" vertical="center"/>
    </xf>
    <xf numFmtId="0" fontId="0" fillId="0" borderId="44" xfId="0" applyBorder="1" applyAlignment="1">
      <alignment horizontal="center" vertical="center"/>
    </xf>
    <xf numFmtId="0" fontId="0" fillId="0" borderId="40" xfId="0" applyBorder="1" applyAlignment="1">
      <alignment horizontal="center" vertical="center"/>
    </xf>
    <xf numFmtId="0" fontId="0" fillId="0" borderId="62" xfId="0" applyBorder="1" applyAlignment="1">
      <alignment horizontal="center" vertical="center"/>
    </xf>
    <xf numFmtId="0" fontId="3" fillId="2" borderId="66" xfId="0" applyFont="1" applyFill="1" applyBorder="1" applyAlignment="1">
      <alignment horizontal="left" vertical="center"/>
    </xf>
    <xf numFmtId="0" fontId="3" fillId="2" borderId="59" xfId="0" applyFont="1" applyFill="1" applyBorder="1" applyAlignment="1">
      <alignment horizontal="left" vertical="center"/>
    </xf>
    <xf numFmtId="0" fontId="3" fillId="2" borderId="61" xfId="0" applyFont="1" applyFill="1" applyBorder="1" applyAlignment="1">
      <alignment horizontal="left" vertical="center"/>
    </xf>
    <xf numFmtId="0" fontId="3" fillId="2" borderId="46" xfId="0" applyFont="1" applyFill="1" applyBorder="1" applyAlignment="1">
      <alignment horizontal="left" vertical="center"/>
    </xf>
    <xf numFmtId="0" fontId="3" fillId="2" borderId="0" xfId="0" applyFont="1" applyFill="1" applyBorder="1" applyAlignment="1">
      <alignment horizontal="left" vertical="center"/>
    </xf>
    <xf numFmtId="0" fontId="3" fillId="2" borderId="65" xfId="0" applyFont="1" applyFill="1" applyBorder="1" applyAlignment="1">
      <alignment horizontal="left" vertical="center"/>
    </xf>
    <xf numFmtId="0" fontId="4" fillId="0" borderId="56" xfId="0" applyNumberFormat="1" applyFont="1" applyFill="1" applyBorder="1" applyAlignment="1">
      <alignment horizontal="left" vertical="center"/>
    </xf>
    <xf numFmtId="0" fontId="4" fillId="0" borderId="6" xfId="0" applyNumberFormat="1" applyFont="1" applyFill="1" applyBorder="1" applyAlignment="1">
      <alignment horizontal="left" vertical="center"/>
    </xf>
    <xf numFmtId="0" fontId="4" fillId="0" borderId="7" xfId="0" applyNumberFormat="1" applyFont="1" applyFill="1" applyBorder="1" applyAlignment="1">
      <alignment horizontal="left" vertical="center"/>
    </xf>
    <xf numFmtId="2" fontId="25" fillId="6" borderId="53" xfId="0" applyNumberFormat="1" applyFont="1" applyFill="1" applyBorder="1" applyAlignment="1">
      <alignment horizontal="center"/>
    </xf>
    <xf numFmtId="2" fontId="25" fillId="6" borderId="29" xfId="0" applyNumberFormat="1" applyFont="1" applyFill="1" applyBorder="1" applyAlignment="1">
      <alignment horizontal="center"/>
    </xf>
    <xf numFmtId="0" fontId="0" fillId="0" borderId="0" xfId="0" applyAlignment="1">
      <alignment horizontal="center" vertical="center"/>
    </xf>
    <xf numFmtId="0" fontId="21" fillId="7" borderId="53" xfId="0" applyFont="1" applyFill="1" applyBorder="1" applyAlignment="1">
      <alignment horizontal="center" vertical="center"/>
    </xf>
    <xf numFmtId="0" fontId="21" fillId="7" borderId="60" xfId="0" applyFont="1" applyFill="1" applyBorder="1" applyAlignment="1">
      <alignment horizontal="center" vertical="center"/>
    </xf>
    <xf numFmtId="0" fontId="21" fillId="7" borderId="29" xfId="0" applyFont="1" applyFill="1" applyBorder="1" applyAlignment="1">
      <alignment horizontal="center" vertical="center"/>
    </xf>
    <xf numFmtId="0" fontId="20" fillId="7" borderId="53" xfId="0" applyFont="1" applyFill="1" applyBorder="1" applyAlignment="1">
      <alignment horizontal="center" wrapText="1"/>
    </xf>
    <xf numFmtId="0" fontId="20" fillId="7" borderId="60" xfId="0" applyFont="1" applyFill="1" applyBorder="1" applyAlignment="1">
      <alignment horizontal="center" wrapText="1"/>
    </xf>
    <xf numFmtId="0" fontId="20" fillId="7" borderId="29" xfId="0" applyFont="1" applyFill="1" applyBorder="1" applyAlignment="1">
      <alignment horizontal="center" wrapText="1"/>
    </xf>
    <xf numFmtId="0" fontId="2" fillId="0" borderId="57" xfId="0" applyFont="1" applyFill="1" applyBorder="1" applyAlignment="1">
      <alignment horizontal="center" wrapText="1"/>
    </xf>
    <xf numFmtId="0" fontId="2" fillId="0" borderId="67" xfId="0" applyFont="1" applyFill="1" applyBorder="1" applyAlignment="1">
      <alignment horizontal="center" wrapText="1"/>
    </xf>
    <xf numFmtId="0" fontId="2" fillId="0" borderId="68" xfId="0" applyFont="1" applyFill="1" applyBorder="1" applyAlignment="1">
      <alignment horizontal="center" wrapText="1"/>
    </xf>
    <xf numFmtId="0" fontId="4" fillId="0" borderId="0" xfId="0" applyFont="1" applyBorder="1" applyAlignment="1">
      <alignment horizontal="left" vertical="top" wrapText="1"/>
    </xf>
    <xf numFmtId="0" fontId="4" fillId="0" borderId="19" xfId="0" applyFont="1" applyBorder="1" applyAlignment="1">
      <alignment horizontal="left" vertical="top" wrapText="1"/>
    </xf>
    <xf numFmtId="0" fontId="4" fillId="0" borderId="0" xfId="0" applyFont="1" applyBorder="1" applyAlignment="1">
      <alignment horizontal="left" vertical="top"/>
    </xf>
    <xf numFmtId="0" fontId="4" fillId="0" borderId="19" xfId="0" applyFont="1" applyBorder="1" applyAlignment="1">
      <alignment horizontal="left" vertical="top"/>
    </xf>
    <xf numFmtId="0" fontId="4" fillId="0" borderId="63" xfId="0" applyFont="1" applyBorder="1" applyAlignment="1">
      <alignment horizontal="left" vertical="top"/>
    </xf>
    <xf numFmtId="0" fontId="4" fillId="0" borderId="69" xfId="0" applyFont="1" applyBorder="1" applyAlignment="1">
      <alignment horizontal="left" vertical="top"/>
    </xf>
    <xf numFmtId="0" fontId="20" fillId="7" borderId="53" xfId="0" applyFont="1" applyFill="1" applyBorder="1" applyAlignment="1">
      <alignment horizontal="center"/>
    </xf>
    <xf numFmtId="0" fontId="20" fillId="7" borderId="60" xfId="0" applyFont="1" applyFill="1" applyBorder="1" applyAlignment="1">
      <alignment horizontal="center"/>
    </xf>
    <xf numFmtId="0" fontId="20" fillId="7" borderId="29" xfId="0" applyFont="1" applyFill="1" applyBorder="1" applyAlignment="1">
      <alignment horizontal="center"/>
    </xf>
    <xf numFmtId="0" fontId="0" fillId="0" borderId="59" xfId="0" applyBorder="1" applyAlignment="1">
      <alignment horizontal="left" vertical="top" wrapText="1"/>
    </xf>
    <xf numFmtId="0" fontId="0" fillId="0" borderId="0" xfId="0" applyAlignment="1">
      <alignment horizontal="left" vertical="top" wrapText="1"/>
    </xf>
    <xf numFmtId="0" fontId="0" fillId="0" borderId="40" xfId="0" applyBorder="1" applyAlignment="1">
      <alignment horizontal="left" vertical="top" wrapText="1"/>
    </xf>
    <xf numFmtId="9" fontId="4" fillId="0" borderId="0" xfId="0" applyNumberFormat="1" applyFont="1"/>
    <xf numFmtId="1" fontId="0" fillId="0" borderId="24" xfId="0" applyNumberFormat="1" applyBorder="1"/>
    <xf numFmtId="1" fontId="0" fillId="0" borderId="47" xfId="0" applyNumberFormat="1" applyBorder="1"/>
    <xf numFmtId="1" fontId="0" fillId="0" borderId="61" xfId="0" applyNumberFormat="1" applyBorder="1" applyAlignment="1">
      <alignment horizontal="right"/>
    </xf>
    <xf numFmtId="1" fontId="0" fillId="0" borderId="36" xfId="0" applyNumberFormat="1" applyBorder="1" applyAlignment="1">
      <alignment horizontal="right"/>
    </xf>
  </cellXfs>
  <cellStyles count="2">
    <cellStyle name="Normal" xfId="0" builtinId="0"/>
    <cellStyle name="Percent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29</xdr:row>
          <xdr:rowOff>76200</xdr:rowOff>
        </xdr:from>
        <xdr:to>
          <xdr:col>5</xdr:col>
          <xdr:colOff>600075</xdr:colOff>
          <xdr:row>30</xdr:row>
          <xdr:rowOff>152400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Grabar Valores</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workbookViewId="0">
      <selection activeCell="D30" sqref="D30"/>
    </sheetView>
  </sheetViews>
  <sheetFormatPr baseColWidth="10" defaultColWidth="9.140625" defaultRowHeight="12.75" x14ac:dyDescent="0.2"/>
  <cols>
    <col min="2" max="2" width="35.140625" bestFit="1" customWidth="1"/>
    <col min="3" max="3" width="14.7109375" bestFit="1" customWidth="1"/>
    <col min="4" max="4" width="15.140625" customWidth="1"/>
    <col min="5" max="5" width="12.85546875" bestFit="1" customWidth="1"/>
    <col min="6" max="6" width="17.28515625" customWidth="1"/>
  </cols>
  <sheetData>
    <row r="1" spans="2:12" ht="13.5" thickBot="1" x14ac:dyDescent="0.25"/>
    <row r="2" spans="2:12" x14ac:dyDescent="0.2">
      <c r="B2" s="231" t="s">
        <v>69</v>
      </c>
      <c r="C2" s="232"/>
      <c r="D2" s="233"/>
      <c r="E2" s="216"/>
      <c r="F2" s="216"/>
      <c r="G2" s="216"/>
      <c r="H2" s="216"/>
      <c r="I2" s="216"/>
      <c r="J2" s="216"/>
      <c r="K2" s="216"/>
      <c r="L2" s="217"/>
    </row>
    <row r="3" spans="2:12" x14ac:dyDescent="0.2">
      <c r="B3" s="225" t="s">
        <v>70</v>
      </c>
      <c r="C3" s="226"/>
      <c r="D3" s="230"/>
      <c r="E3" s="228"/>
      <c r="F3" s="228"/>
      <c r="G3" s="228"/>
      <c r="H3" s="228"/>
      <c r="I3" s="228"/>
      <c r="J3" s="228"/>
      <c r="K3" s="228"/>
      <c r="L3" s="229"/>
    </row>
    <row r="4" spans="2:12" x14ac:dyDescent="0.2">
      <c r="B4" s="225" t="s">
        <v>71</v>
      </c>
      <c r="C4" s="226"/>
      <c r="D4" s="227"/>
      <c r="E4" s="228"/>
      <c r="F4" s="228"/>
      <c r="G4" s="228"/>
      <c r="H4" s="228"/>
      <c r="I4" s="228"/>
      <c r="J4" s="228"/>
      <c r="K4" s="228"/>
      <c r="L4" s="229"/>
    </row>
    <row r="5" spans="2:12" x14ac:dyDescent="0.2">
      <c r="B5" s="225" t="s">
        <v>72</v>
      </c>
      <c r="C5" s="226"/>
      <c r="D5" s="230"/>
      <c r="E5" s="228"/>
      <c r="F5" s="228"/>
      <c r="G5" s="228"/>
      <c r="H5" s="228"/>
      <c r="I5" s="228"/>
      <c r="J5" s="228"/>
      <c r="K5" s="228"/>
      <c r="L5" s="229"/>
    </row>
    <row r="6" spans="2:12" x14ac:dyDescent="0.2">
      <c r="B6" s="225" t="s">
        <v>73</v>
      </c>
      <c r="C6" s="226"/>
      <c r="D6" s="230" t="s">
        <v>74</v>
      </c>
      <c r="E6" s="228"/>
      <c r="F6" s="228"/>
      <c r="G6" s="228"/>
      <c r="H6" s="228"/>
      <c r="I6" s="228"/>
      <c r="J6" s="228"/>
      <c r="K6" s="228"/>
      <c r="L6" s="229"/>
    </row>
    <row r="7" spans="2:12" ht="13.5" thickBot="1" x14ac:dyDescent="0.25">
      <c r="B7" s="222" t="s">
        <v>75</v>
      </c>
      <c r="C7" s="223"/>
      <c r="D7" s="224" t="s">
        <v>76</v>
      </c>
      <c r="E7" s="220"/>
      <c r="F7" s="220"/>
      <c r="G7" s="220"/>
      <c r="H7" s="220"/>
      <c r="I7" s="220"/>
      <c r="J7" s="220"/>
      <c r="K7" s="220"/>
      <c r="L7" s="221"/>
    </row>
    <row r="8" spans="2:12" ht="13.5" thickBot="1" x14ac:dyDescent="0.25">
      <c r="B8" s="38"/>
    </row>
    <row r="9" spans="2:12" ht="13.5" thickBot="1" x14ac:dyDescent="0.25">
      <c r="B9" s="211" t="s">
        <v>77</v>
      </c>
      <c r="C9" s="212"/>
      <c r="D9" s="212"/>
      <c r="E9" s="212"/>
      <c r="F9" s="212"/>
      <c r="G9" s="212"/>
      <c r="H9" s="212"/>
      <c r="I9" s="212"/>
      <c r="J9" s="212"/>
      <c r="K9" s="212"/>
      <c r="L9" s="213"/>
    </row>
    <row r="10" spans="2:12" x14ac:dyDescent="0.2">
      <c r="B10" s="214" t="s">
        <v>78</v>
      </c>
      <c r="C10" s="215"/>
      <c r="D10" s="216" t="s">
        <v>79</v>
      </c>
      <c r="E10" s="216"/>
      <c r="F10" s="216"/>
      <c r="G10" s="216"/>
      <c r="H10" s="216"/>
      <c r="I10" s="216"/>
      <c r="J10" s="216"/>
      <c r="K10" s="216"/>
      <c r="L10" s="217"/>
    </row>
    <row r="11" spans="2:12" ht="13.5" thickBot="1" x14ac:dyDescent="0.25">
      <c r="B11" s="218" t="s">
        <v>80</v>
      </c>
      <c r="C11" s="219"/>
      <c r="D11" s="220" t="s">
        <v>81</v>
      </c>
      <c r="E11" s="220"/>
      <c r="F11" s="220"/>
      <c r="G11" s="220"/>
      <c r="H11" s="220"/>
      <c r="I11" s="220"/>
      <c r="J11" s="220"/>
      <c r="K11" s="220"/>
      <c r="L11" s="221"/>
    </row>
    <row r="14" spans="2:12" x14ac:dyDescent="0.2">
      <c r="B14" s="45" t="s">
        <v>90</v>
      </c>
      <c r="C14" s="38"/>
    </row>
    <row r="16" spans="2:12" x14ac:dyDescent="0.2">
      <c r="B16" s="210" t="s">
        <v>91</v>
      </c>
      <c r="C16" s="210"/>
      <c r="D16" s="210"/>
      <c r="E16" s="210"/>
      <c r="F16" s="210"/>
    </row>
    <row r="17" spans="2:6" x14ac:dyDescent="0.2">
      <c r="B17" s="54"/>
      <c r="C17" s="54"/>
      <c r="D17" s="54"/>
      <c r="E17" s="55"/>
      <c r="F17" s="56"/>
    </row>
    <row r="18" spans="2:6" ht="39" thickBot="1" x14ac:dyDescent="0.25">
      <c r="B18" s="145" t="s">
        <v>92</v>
      </c>
      <c r="C18" s="144" t="s">
        <v>96</v>
      </c>
      <c r="D18" s="144" t="s">
        <v>134</v>
      </c>
      <c r="E18" s="144" t="s">
        <v>97</v>
      </c>
      <c r="F18" s="144" t="s">
        <v>132</v>
      </c>
    </row>
    <row r="19" spans="2:6" ht="13.5" thickBot="1" x14ac:dyDescent="0.25">
      <c r="B19" s="136" t="s">
        <v>149</v>
      </c>
      <c r="C19" s="137">
        <v>0</v>
      </c>
      <c r="D19" s="138">
        <v>0.1</v>
      </c>
      <c r="E19" s="184" t="e">
        <f>Programacion!R23</f>
        <v>#N/A</v>
      </c>
      <c r="F19" s="353" t="e">
        <f>SUM(E19:E22)</f>
        <v>#N/A</v>
      </c>
    </row>
    <row r="20" spans="2:6" x14ac:dyDescent="0.2">
      <c r="B20" s="136" t="s">
        <v>93</v>
      </c>
      <c r="C20" s="137">
        <v>0</v>
      </c>
      <c r="D20" s="138">
        <v>0.25</v>
      </c>
      <c r="E20" s="184" t="e">
        <f>Programacion!Q23</f>
        <v>#N/A</v>
      </c>
      <c r="F20" s="206"/>
    </row>
    <row r="21" spans="2:6" x14ac:dyDescent="0.2">
      <c r="B21" s="139" t="s">
        <v>145</v>
      </c>
      <c r="C21" s="57">
        <v>0</v>
      </c>
      <c r="D21" s="58">
        <v>1</v>
      </c>
      <c r="E21" s="187" t="e">
        <f>Programacion!P23</f>
        <v>#N/A</v>
      </c>
      <c r="F21" s="206"/>
    </row>
    <row r="22" spans="2:6" ht="13.5" thickBot="1" x14ac:dyDescent="0.25">
      <c r="B22" s="140" t="s">
        <v>146</v>
      </c>
      <c r="C22" s="141">
        <v>0</v>
      </c>
      <c r="D22" s="142">
        <v>1</v>
      </c>
      <c r="E22" s="158">
        <f t="shared" ref="E21:E24" si="0">(D22*40*C22)</f>
        <v>0</v>
      </c>
      <c r="F22" s="207"/>
    </row>
    <row r="23" spans="2:6" x14ac:dyDescent="0.2">
      <c r="B23" s="155" t="s">
        <v>131</v>
      </c>
      <c r="C23" s="156">
        <v>0</v>
      </c>
      <c r="D23" s="157">
        <v>0.15</v>
      </c>
      <c r="E23" s="351" t="e">
        <f>Programacion!T23</f>
        <v>#N/A</v>
      </c>
      <c r="F23" s="354" t="e">
        <f>SUM(E23:E25)</f>
        <v>#N/A</v>
      </c>
    </row>
    <row r="24" spans="2:6" x14ac:dyDescent="0.2">
      <c r="B24" s="139" t="s">
        <v>147</v>
      </c>
      <c r="C24" s="57">
        <v>0</v>
      </c>
      <c r="D24" s="58">
        <v>1</v>
      </c>
      <c r="E24" s="352" t="e">
        <f>Programacion!S23</f>
        <v>#N/A</v>
      </c>
      <c r="F24" s="208"/>
    </row>
    <row r="25" spans="2:6" ht="13.5" thickBot="1" x14ac:dyDescent="0.25">
      <c r="B25" s="140" t="s">
        <v>148</v>
      </c>
      <c r="C25" s="141">
        <v>0</v>
      </c>
      <c r="D25" s="142">
        <v>1</v>
      </c>
      <c r="E25" s="143">
        <f>(D25*40*C25)</f>
        <v>0</v>
      </c>
      <c r="F25" s="209"/>
    </row>
    <row r="26" spans="2:6" ht="13.5" thickBot="1" x14ac:dyDescent="0.25">
      <c r="B26" s="60"/>
      <c r="E26" s="146" t="e">
        <f>SUM(E19:E25)</f>
        <v>#N/A</v>
      </c>
      <c r="F26" s="61"/>
    </row>
    <row r="27" spans="2:6" ht="13.5" thickBot="1" x14ac:dyDescent="0.25"/>
    <row r="28" spans="2:6" x14ac:dyDescent="0.2">
      <c r="B28" s="148" t="s">
        <v>94</v>
      </c>
      <c r="C28" s="64" t="e">
        <f>E26</f>
        <v>#N/A</v>
      </c>
      <c r="D28" s="4"/>
    </row>
    <row r="29" spans="2:6" ht="13.5" thickBot="1" x14ac:dyDescent="0.25">
      <c r="B29" s="159" t="s">
        <v>98</v>
      </c>
      <c r="C29" s="65" t="e">
        <f>Programacion!M12</f>
        <v>#N/A</v>
      </c>
    </row>
    <row r="30" spans="2:6" ht="13.5" thickBot="1" x14ac:dyDescent="0.25">
      <c r="B30" s="149" t="s">
        <v>95</v>
      </c>
      <c r="C30" s="62" t="e">
        <f>(C28-C29)</f>
        <v>#N/A</v>
      </c>
      <c r="D30" s="63" t="e">
        <f>IF(C28&gt;C29,(C28-C29)/C29)</f>
        <v>#N/A</v>
      </c>
    </row>
  </sheetData>
  <protectedRanges>
    <protectedRange sqref="B8:B11" name="Nombre del Cliente"/>
  </protectedRanges>
  <mergeCells count="20">
    <mergeCell ref="B2:C2"/>
    <mergeCell ref="D2:L2"/>
    <mergeCell ref="B3:C3"/>
    <mergeCell ref="D3:L3"/>
    <mergeCell ref="B6:C6"/>
    <mergeCell ref="D6:L6"/>
    <mergeCell ref="B7:C7"/>
    <mergeCell ref="D7:L7"/>
    <mergeCell ref="B4:C4"/>
    <mergeCell ref="D4:L4"/>
    <mergeCell ref="B5:C5"/>
    <mergeCell ref="D5:L5"/>
    <mergeCell ref="F19:F22"/>
    <mergeCell ref="F23:F25"/>
    <mergeCell ref="B16:F16"/>
    <mergeCell ref="B9:L9"/>
    <mergeCell ref="B10:C10"/>
    <mergeCell ref="D10:L10"/>
    <mergeCell ref="B11:C11"/>
    <mergeCell ref="D11:L11"/>
  </mergeCells>
  <phoneticPr fontId="1"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U37"/>
  <sheetViews>
    <sheetView showGridLines="0" tabSelected="1" zoomScale="90" zoomScaleNormal="90" workbookViewId="0">
      <selection activeCell="F36" sqref="F36"/>
    </sheetView>
  </sheetViews>
  <sheetFormatPr baseColWidth="10" defaultColWidth="9.140625" defaultRowHeight="12.75" x14ac:dyDescent="0.2"/>
  <cols>
    <col min="1" max="1" width="3" customWidth="1"/>
    <col min="2" max="2" width="19.42578125" customWidth="1"/>
    <col min="3" max="3" width="7" bestFit="1" customWidth="1"/>
    <col min="4" max="4" width="38.85546875" customWidth="1"/>
    <col min="5" max="5" width="41.85546875" customWidth="1"/>
    <col min="6" max="6" width="12" bestFit="1" customWidth="1"/>
    <col min="7" max="7" width="13.42578125" customWidth="1"/>
    <col min="8" max="8" width="15" customWidth="1"/>
    <col min="9" max="9" width="12.5703125" style="38" customWidth="1"/>
    <col min="10" max="10" width="12.5703125" customWidth="1"/>
    <col min="11" max="11" width="12.140625" customWidth="1"/>
    <col min="12" max="12" width="14.28515625" customWidth="1"/>
    <col min="13" max="13" width="12.42578125" bestFit="1" customWidth="1"/>
    <col min="14" max="14" width="4.28515625" customWidth="1"/>
    <col min="15" max="15" width="7.7109375" customWidth="1"/>
  </cols>
  <sheetData>
    <row r="1" spans="2:21" x14ac:dyDescent="0.2">
      <c r="B1" s="2" t="s">
        <v>64</v>
      </c>
      <c r="C1" s="2"/>
      <c r="D1" s="4"/>
      <c r="E1" s="4"/>
    </row>
    <row r="2" spans="2:21" x14ac:dyDescent="0.2">
      <c r="B2" s="45" t="s">
        <v>86</v>
      </c>
      <c r="C2" s="2">
        <f>Estimación!D5</f>
        <v>0</v>
      </c>
      <c r="D2" s="4"/>
      <c r="E2" s="4"/>
    </row>
    <row r="3" spans="2:21" x14ac:dyDescent="0.2">
      <c r="B3" s="2" t="s">
        <v>87</v>
      </c>
      <c r="C3" s="2">
        <f>Estimación!D2</f>
        <v>0</v>
      </c>
      <c r="D3" s="4"/>
      <c r="E3" s="4"/>
    </row>
    <row r="4" spans="2:21" ht="13.5" thickBot="1" x14ac:dyDescent="0.25">
      <c r="B4" s="2"/>
      <c r="C4" s="2"/>
      <c r="D4" s="4"/>
      <c r="E4" s="4"/>
    </row>
    <row r="5" spans="2:21" ht="13.5" thickBot="1" x14ac:dyDescent="0.25">
      <c r="C5" s="249" t="s">
        <v>150</v>
      </c>
      <c r="D5" s="251" t="s">
        <v>82</v>
      </c>
      <c r="E5" s="252"/>
      <c r="F5" s="237" t="s">
        <v>83</v>
      </c>
      <c r="G5" s="238"/>
      <c r="H5" s="238"/>
      <c r="I5" s="238"/>
      <c r="J5" s="238"/>
      <c r="K5" s="238"/>
      <c r="L5" s="238"/>
      <c r="M5" s="239"/>
    </row>
    <row r="6" spans="2:21" ht="33" customHeight="1" thickBot="1" x14ac:dyDescent="0.25">
      <c r="C6" s="250"/>
      <c r="D6" s="253"/>
      <c r="E6" s="254"/>
      <c r="F6" s="161" t="s">
        <v>100</v>
      </c>
      <c r="G6" s="73" t="s">
        <v>101</v>
      </c>
      <c r="H6" s="204" t="s">
        <v>152</v>
      </c>
      <c r="I6" s="205" t="s">
        <v>93</v>
      </c>
      <c r="J6" s="204" t="s">
        <v>154</v>
      </c>
      <c r="K6" s="205" t="s">
        <v>131</v>
      </c>
      <c r="L6" s="76" t="s">
        <v>153</v>
      </c>
      <c r="M6" s="76" t="s">
        <v>39</v>
      </c>
    </row>
    <row r="7" spans="2:21" x14ac:dyDescent="0.2">
      <c r="C7" s="164"/>
      <c r="D7" s="245"/>
      <c r="E7" s="246"/>
      <c r="F7" s="165" t="e">
        <f>I23</f>
        <v>#N/A</v>
      </c>
      <c r="G7" s="166">
        <v>0</v>
      </c>
      <c r="H7" s="196" t="e">
        <f t="shared" ref="H7:H11" si="0">0.05*F7/0.4 + F7</f>
        <v>#N/A</v>
      </c>
      <c r="I7" s="197" t="e">
        <f>H7*Estimación!D20</f>
        <v>#N/A</v>
      </c>
      <c r="J7" s="200" t="e">
        <f>H7*0.4</f>
        <v>#N/A</v>
      </c>
      <c r="K7" s="201" t="e">
        <f>J7*Estimación!D23</f>
        <v>#N/A</v>
      </c>
      <c r="L7" s="77" t="e">
        <f>H7*Estimación!D19</f>
        <v>#N/A</v>
      </c>
      <c r="M7" s="167" t="e">
        <f>SUM(G7:L7)</f>
        <v>#N/A</v>
      </c>
    </row>
    <row r="8" spans="2:21" x14ac:dyDescent="0.2">
      <c r="C8" s="43"/>
      <c r="D8" s="240"/>
      <c r="E8" s="241"/>
      <c r="F8" s="74"/>
      <c r="G8" s="160">
        <v>0</v>
      </c>
      <c r="H8" s="196">
        <f t="shared" si="0"/>
        <v>0</v>
      </c>
      <c r="I8" s="197"/>
      <c r="J8" s="200">
        <f>Testing!F8</f>
        <v>0</v>
      </c>
      <c r="K8" s="201"/>
      <c r="L8" s="77">
        <f t="shared" ref="L8:L11" si="1">SUM(G8:K8)</f>
        <v>0</v>
      </c>
      <c r="M8" s="70"/>
    </row>
    <row r="9" spans="2:21" x14ac:dyDescent="0.2">
      <c r="C9" s="43"/>
      <c r="D9" s="240"/>
      <c r="E9" s="241"/>
      <c r="F9" s="74"/>
      <c r="G9" s="160">
        <v>0</v>
      </c>
      <c r="H9" s="196">
        <f t="shared" si="0"/>
        <v>0</v>
      </c>
      <c r="I9" s="197"/>
      <c r="J9" s="200">
        <f>Testing!F9</f>
        <v>0</v>
      </c>
      <c r="K9" s="201"/>
      <c r="L9" s="77">
        <f t="shared" si="1"/>
        <v>0</v>
      </c>
      <c r="M9" s="70"/>
    </row>
    <row r="10" spans="2:21" x14ac:dyDescent="0.2">
      <c r="C10" s="125"/>
      <c r="D10" s="240"/>
      <c r="E10" s="241"/>
      <c r="F10" s="74"/>
      <c r="G10" s="160">
        <v>0</v>
      </c>
      <c r="H10" s="196">
        <f>0.05*F10/0.4 + F10</f>
        <v>0</v>
      </c>
      <c r="I10" s="197"/>
      <c r="J10" s="200">
        <f>Testing!F14</f>
        <v>0</v>
      </c>
      <c r="K10" s="201"/>
      <c r="L10" s="77">
        <f t="shared" si="1"/>
        <v>0</v>
      </c>
      <c r="M10" s="126"/>
    </row>
    <row r="11" spans="2:21" ht="13.5" thickBot="1" x14ac:dyDescent="0.25">
      <c r="C11" s="68"/>
      <c r="D11" s="240"/>
      <c r="E11" s="241"/>
      <c r="F11" s="163"/>
      <c r="G11" s="160">
        <v>0</v>
      </c>
      <c r="H11" s="196">
        <f t="shared" si="0"/>
        <v>0</v>
      </c>
      <c r="I11" s="197"/>
      <c r="J11" s="200">
        <f>Testing!F16</f>
        <v>0</v>
      </c>
      <c r="K11" s="201"/>
      <c r="L11" s="77">
        <f t="shared" si="1"/>
        <v>0</v>
      </c>
      <c r="M11" s="71"/>
    </row>
    <row r="12" spans="2:21" ht="13.5" thickBot="1" x14ac:dyDescent="0.25">
      <c r="C12" s="44" t="s">
        <v>85</v>
      </c>
      <c r="D12" s="247"/>
      <c r="E12" s="248"/>
      <c r="F12" s="162" t="e">
        <f t="shared" ref="F12:M12" si="2">SUM(F7:F11)</f>
        <v>#N/A</v>
      </c>
      <c r="G12" s="75">
        <f t="shared" si="2"/>
        <v>0</v>
      </c>
      <c r="H12" s="198" t="e">
        <f t="shared" si="2"/>
        <v>#N/A</v>
      </c>
      <c r="I12" s="199" t="e">
        <f t="shared" si="2"/>
        <v>#N/A</v>
      </c>
      <c r="J12" s="202" t="e">
        <f t="shared" si="2"/>
        <v>#N/A</v>
      </c>
      <c r="K12" s="203" t="e">
        <f t="shared" si="2"/>
        <v>#N/A</v>
      </c>
      <c r="L12" s="75" t="e">
        <f t="shared" si="2"/>
        <v>#N/A</v>
      </c>
      <c r="M12" s="72" t="e">
        <f t="shared" si="2"/>
        <v>#N/A</v>
      </c>
    </row>
    <row r="13" spans="2:21" x14ac:dyDescent="0.2">
      <c r="B13" s="2"/>
      <c r="C13" s="2"/>
      <c r="D13" s="4"/>
      <c r="E13" s="4"/>
    </row>
    <row r="14" spans="2:21" ht="13.5" thickBot="1" x14ac:dyDescent="0.25">
      <c r="B14" s="2"/>
      <c r="C14" s="2"/>
      <c r="D14" s="4"/>
      <c r="E14" s="4"/>
    </row>
    <row r="15" spans="2:21" ht="13.5" thickBot="1" x14ac:dyDescent="0.25">
      <c r="B15" s="5"/>
      <c r="C15" s="42"/>
      <c r="D15" s="6"/>
      <c r="E15" s="7"/>
      <c r="F15" s="7"/>
      <c r="G15" s="7"/>
      <c r="H15" s="7"/>
      <c r="I15" s="39"/>
      <c r="J15" s="242" t="s">
        <v>40</v>
      </c>
      <c r="K15" s="243"/>
      <c r="L15" s="243"/>
      <c r="M15" s="243"/>
      <c r="N15" s="244"/>
      <c r="P15" s="234" t="s">
        <v>151</v>
      </c>
      <c r="Q15" s="235"/>
      <c r="R15" s="235"/>
      <c r="S15" s="235" t="s">
        <v>99</v>
      </c>
      <c r="T15" s="236"/>
    </row>
    <row r="16" spans="2:21" ht="112.5" customHeight="1" thickBot="1" x14ac:dyDescent="0.25">
      <c r="B16" s="172" t="s">
        <v>41</v>
      </c>
      <c r="C16" s="180" t="s">
        <v>150</v>
      </c>
      <c r="D16" s="173" t="s">
        <v>0</v>
      </c>
      <c r="E16" s="173" t="s">
        <v>7</v>
      </c>
      <c r="F16" s="173" t="s">
        <v>5</v>
      </c>
      <c r="G16" s="174" t="s">
        <v>62</v>
      </c>
      <c r="H16" s="173" t="s">
        <v>36</v>
      </c>
      <c r="I16" s="175" t="s">
        <v>63</v>
      </c>
      <c r="J16" s="176" t="s">
        <v>39</v>
      </c>
      <c r="K16" s="177" t="s">
        <v>66</v>
      </c>
      <c r="L16" s="177" t="s">
        <v>37</v>
      </c>
      <c r="M16" s="177" t="s">
        <v>38</v>
      </c>
      <c r="N16" s="178" t="s">
        <v>67</v>
      </c>
      <c r="P16" s="176" t="s">
        <v>152</v>
      </c>
      <c r="Q16" s="177" t="s">
        <v>93</v>
      </c>
      <c r="R16" s="177" t="s">
        <v>153</v>
      </c>
      <c r="S16" s="177" t="s">
        <v>154</v>
      </c>
      <c r="T16" s="181" t="s">
        <v>131</v>
      </c>
      <c r="U16" s="191" t="s">
        <v>39</v>
      </c>
    </row>
    <row r="17" spans="2:21" x14ac:dyDescent="0.2">
      <c r="B17" s="18"/>
      <c r="C17" s="30"/>
      <c r="D17" s="168"/>
      <c r="E17" s="168" t="e">
        <f>VLOOKUP(B17,Referencias!$C$4:$I$29,3,FALSE)</f>
        <v>#N/A</v>
      </c>
      <c r="F17" s="30"/>
      <c r="G17" s="168" t="e">
        <f>VLOOKUP(B17,Referencias!$C$4:$I$29,F17+3,FALSE)</f>
        <v>#N/A</v>
      </c>
      <c r="H17" s="30"/>
      <c r="I17" s="169" t="e">
        <f>G17*H17+(G17*H17*J17)</f>
        <v>#N/A</v>
      </c>
      <c r="J17" s="170">
        <f>SUM(K17:N17)</f>
        <v>0</v>
      </c>
      <c r="K17" s="170">
        <v>0</v>
      </c>
      <c r="L17" s="170">
        <v>0</v>
      </c>
      <c r="M17" s="170">
        <v>0</v>
      </c>
      <c r="N17" s="171">
        <v>0</v>
      </c>
      <c r="P17" s="182" t="e">
        <f>0.05*I17/0.4 + I17</f>
        <v>#N/A</v>
      </c>
      <c r="Q17" s="183" t="e">
        <f>P17*Estimación!D20</f>
        <v>#N/A</v>
      </c>
      <c r="R17" s="183" t="e">
        <f>P17*Estimación!D19</f>
        <v>#N/A</v>
      </c>
      <c r="S17" s="183" t="e">
        <f>P17*0.4</f>
        <v>#N/A</v>
      </c>
      <c r="T17" s="184" t="e">
        <f>S17*Estimación!D23</f>
        <v>#N/A</v>
      </c>
      <c r="U17" s="184" t="e">
        <f>SUM(P17:T17)</f>
        <v>#N/A</v>
      </c>
    </row>
    <row r="18" spans="2:21" x14ac:dyDescent="0.2">
      <c r="B18" s="11"/>
      <c r="C18" s="12"/>
      <c r="D18" s="41"/>
      <c r="E18" s="41" t="e">
        <f>VLOOKUP(B18,Referencias!$C$4:$I$29,3,FALSE)</f>
        <v>#N/A</v>
      </c>
      <c r="F18" s="12"/>
      <c r="G18" s="41" t="e">
        <f>VLOOKUP(B18,Referencias!$C$4:$I$29,F18+3,FALSE)</f>
        <v>#N/A</v>
      </c>
      <c r="H18" s="12"/>
      <c r="I18" s="46" t="e">
        <f>G18*H18+(G18*H18*J18)</f>
        <v>#N/A</v>
      </c>
      <c r="J18" s="47">
        <f>SUM(K18:N18)</f>
        <v>0</v>
      </c>
      <c r="K18" s="47">
        <v>0</v>
      </c>
      <c r="L18" s="47">
        <v>0</v>
      </c>
      <c r="M18" s="47">
        <v>0</v>
      </c>
      <c r="N18" s="48">
        <v>0</v>
      </c>
      <c r="P18" s="185" t="e">
        <f t="shared" ref="P18:P21" si="3">0.05*I18/0.4 + I18</f>
        <v>#N/A</v>
      </c>
      <c r="Q18" s="186" t="e">
        <f>P18*Estimación!D20</f>
        <v>#N/A</v>
      </c>
      <c r="R18" s="186" t="e">
        <f>P18*Estimación!D19</f>
        <v>#N/A</v>
      </c>
      <c r="S18" s="186" t="e">
        <f t="shared" ref="S18:S21" si="4">P18*0.4</f>
        <v>#N/A</v>
      </c>
      <c r="T18" s="187" t="e">
        <f>S18*Estimación!D23</f>
        <v>#N/A</v>
      </c>
      <c r="U18" s="187" t="e">
        <f>SUM(P18:T18)</f>
        <v>#N/A</v>
      </c>
    </row>
    <row r="19" spans="2:21" x14ac:dyDescent="0.2">
      <c r="B19" s="11"/>
      <c r="C19" s="12"/>
      <c r="D19" s="41"/>
      <c r="E19" s="41" t="e">
        <f>VLOOKUP(B19,Referencias!$C$4:$I$29,3,FALSE)</f>
        <v>#N/A</v>
      </c>
      <c r="F19" s="12"/>
      <c r="G19" s="41" t="e">
        <f>VLOOKUP(B19,Referencias!$C$4:$I$29,F19+3,FALSE)</f>
        <v>#N/A</v>
      </c>
      <c r="H19" s="12"/>
      <c r="I19" s="46" t="e">
        <f>G19*H19+(G19*H19*J19)</f>
        <v>#N/A</v>
      </c>
      <c r="J19" s="47">
        <f>SUM(K19:N19)</f>
        <v>0</v>
      </c>
      <c r="K19" s="47">
        <v>0</v>
      </c>
      <c r="L19" s="47">
        <v>0</v>
      </c>
      <c r="M19" s="47">
        <v>0</v>
      </c>
      <c r="N19" s="48">
        <v>0</v>
      </c>
      <c r="P19" s="185" t="e">
        <f t="shared" si="3"/>
        <v>#N/A</v>
      </c>
      <c r="Q19" s="186" t="e">
        <f>P19*Estimación!D20</f>
        <v>#N/A</v>
      </c>
      <c r="R19" s="186" t="e">
        <f>P19*Estimación!D19</f>
        <v>#N/A</v>
      </c>
      <c r="S19" s="186" t="e">
        <f t="shared" si="4"/>
        <v>#N/A</v>
      </c>
      <c r="T19" s="187" t="e">
        <f>S19*Estimación!D23</f>
        <v>#N/A</v>
      </c>
      <c r="U19" s="187" t="e">
        <f>SUM(P19:T19)</f>
        <v>#N/A</v>
      </c>
    </row>
    <row r="20" spans="2:21" x14ac:dyDescent="0.2">
      <c r="B20" s="11"/>
      <c r="C20" s="12"/>
      <c r="D20" s="41"/>
      <c r="E20" s="41" t="e">
        <f>VLOOKUP(B20,Referencias!$C$4:$I$29,3,FALSE)</f>
        <v>#N/A</v>
      </c>
      <c r="F20" s="12"/>
      <c r="G20" s="41" t="e">
        <f>VLOOKUP(B20,Referencias!$C$4:$I$29,F20+3,FALSE)</f>
        <v>#N/A</v>
      </c>
      <c r="H20" s="12"/>
      <c r="I20" s="46" t="e">
        <f>G20*H20+(G20*H20*J20)</f>
        <v>#N/A</v>
      </c>
      <c r="J20" s="47">
        <f>SUM(K20:N20)</f>
        <v>0</v>
      </c>
      <c r="K20" s="47">
        <v>0</v>
      </c>
      <c r="L20" s="47">
        <v>0</v>
      </c>
      <c r="M20" s="47">
        <v>0</v>
      </c>
      <c r="N20" s="48">
        <v>0</v>
      </c>
      <c r="P20" s="185" t="e">
        <f t="shared" si="3"/>
        <v>#N/A</v>
      </c>
      <c r="Q20" s="186" t="e">
        <f>P20*Estimación!D20</f>
        <v>#N/A</v>
      </c>
      <c r="R20" s="186" t="e">
        <f>P20*Estimación!D19</f>
        <v>#N/A</v>
      </c>
      <c r="S20" s="186" t="e">
        <f t="shared" si="4"/>
        <v>#N/A</v>
      </c>
      <c r="T20" s="187" t="e">
        <f>S20*Estimación!D23</f>
        <v>#N/A</v>
      </c>
      <c r="U20" s="187" t="e">
        <f>SUM(P20:T20)</f>
        <v>#N/A</v>
      </c>
    </row>
    <row r="21" spans="2:21" ht="13.5" thickBot="1" x14ac:dyDescent="0.25">
      <c r="B21" s="14"/>
      <c r="C21" s="15"/>
      <c r="D21" s="49"/>
      <c r="E21" s="49" t="e">
        <f>VLOOKUP(B21,Referencias!$C$4:$I$29,3,FALSE)</f>
        <v>#N/A</v>
      </c>
      <c r="F21" s="15"/>
      <c r="G21" s="49" t="e">
        <f>VLOOKUP(B21,Referencias!$C$4:$I$29,F21+3,FALSE)</f>
        <v>#N/A</v>
      </c>
      <c r="H21" s="15"/>
      <c r="I21" s="50" t="e">
        <f>G21*H21+(G21*H21*J21)</f>
        <v>#N/A</v>
      </c>
      <c r="J21" s="51">
        <f>SUM(K21:N21)</f>
        <v>0</v>
      </c>
      <c r="K21" s="51">
        <v>0</v>
      </c>
      <c r="L21" s="51">
        <v>0</v>
      </c>
      <c r="M21" s="51">
        <v>0</v>
      </c>
      <c r="N21" s="52">
        <v>0</v>
      </c>
      <c r="P21" s="188" t="e">
        <f t="shared" si="3"/>
        <v>#N/A</v>
      </c>
      <c r="Q21" s="189" t="e">
        <f>P21*Estimación!D20</f>
        <v>#N/A</v>
      </c>
      <c r="R21" s="189" t="e">
        <f>P21*Estimación!D19</f>
        <v>#N/A</v>
      </c>
      <c r="S21" s="189" t="e">
        <f t="shared" si="4"/>
        <v>#N/A</v>
      </c>
      <c r="T21" s="190" t="e">
        <f>S21*Estimación!D23</f>
        <v>#N/A</v>
      </c>
      <c r="U21" s="190" t="e">
        <f>SUM(P21:T21)</f>
        <v>#N/A</v>
      </c>
    </row>
    <row r="22" spans="2:21" ht="13.5" thickBot="1" x14ac:dyDescent="0.25"/>
    <row r="23" spans="2:21" ht="13.5" thickBot="1" x14ac:dyDescent="0.25">
      <c r="I23" s="40" t="e">
        <f>SUM(I17:I22)</f>
        <v>#N/A</v>
      </c>
      <c r="P23" s="192" t="e">
        <f t="shared" ref="P23:U23" si="5">SUM(P17:P21)</f>
        <v>#N/A</v>
      </c>
      <c r="Q23" s="193" t="e">
        <f t="shared" si="5"/>
        <v>#N/A</v>
      </c>
      <c r="R23" s="193" t="e">
        <f t="shared" si="5"/>
        <v>#N/A</v>
      </c>
      <c r="S23" s="193" t="e">
        <f t="shared" si="5"/>
        <v>#N/A</v>
      </c>
      <c r="T23" s="194" t="e">
        <f t="shared" si="5"/>
        <v>#N/A</v>
      </c>
      <c r="U23" s="195" t="e">
        <f t="shared" si="5"/>
        <v>#N/A</v>
      </c>
    </row>
    <row r="32" spans="2:21" x14ac:dyDescent="0.2">
      <c r="E32" s="350"/>
    </row>
    <row r="33" spans="5:5" x14ac:dyDescent="0.2">
      <c r="E33" s="350"/>
    </row>
    <row r="34" spans="5:5" x14ac:dyDescent="0.2">
      <c r="E34" s="350"/>
    </row>
    <row r="35" spans="5:5" x14ac:dyDescent="0.2">
      <c r="E35" s="350"/>
    </row>
    <row r="36" spans="5:5" x14ac:dyDescent="0.2">
      <c r="E36" s="350"/>
    </row>
    <row r="37" spans="5:5" x14ac:dyDescent="0.2">
      <c r="E37" s="350"/>
    </row>
  </sheetData>
  <mergeCells count="12">
    <mergeCell ref="C5:C6"/>
    <mergeCell ref="D5:E6"/>
    <mergeCell ref="D8:E8"/>
    <mergeCell ref="D9:E9"/>
    <mergeCell ref="P15:R15"/>
    <mergeCell ref="S15:T15"/>
    <mergeCell ref="F5:M5"/>
    <mergeCell ref="D10:E10"/>
    <mergeCell ref="J15:N15"/>
    <mergeCell ref="D7:E7"/>
    <mergeCell ref="D11:E11"/>
    <mergeCell ref="D12:E12"/>
  </mergeCells>
  <phoneticPr fontId="1" type="noConversion"/>
  <dataValidations count="3">
    <dataValidation allowBlank="1" errorTitle="no corresponde" error="no corresponde a los parámetros definidos" promptTitle="complejidad" prompt="seleccione calificación según las referencias" sqref="I12 K12 F7:H12 L7:L12 J7:J12"/>
    <dataValidation type="list" allowBlank="1" showInputMessage="1" showErrorMessage="1" sqref="B17:B21">
      <formula1>codigo</formula1>
    </dataValidation>
    <dataValidation type="list" allowBlank="1" showInputMessage="1" showErrorMessage="1" sqref="F17:F21">
      <formula1>complejidad</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29"/>
  <sheetViews>
    <sheetView showGridLines="0" zoomScale="90" zoomScaleNormal="90" workbookViewId="0"/>
  </sheetViews>
  <sheetFormatPr baseColWidth="10" defaultColWidth="9.140625" defaultRowHeight="12.75" x14ac:dyDescent="0.2"/>
  <cols>
    <col min="4" max="4" width="30.28515625" customWidth="1"/>
    <col min="5" max="5" width="9.5703125" bestFit="1" customWidth="1"/>
    <col min="6" max="6" width="14" bestFit="1" customWidth="1"/>
    <col min="7" max="7" width="12.42578125" bestFit="1" customWidth="1"/>
    <col min="8" max="8" width="6.85546875" bestFit="1" customWidth="1"/>
    <col min="9" max="9" width="8.28515625" bestFit="1" customWidth="1"/>
    <col min="10" max="10" width="11" bestFit="1" customWidth="1"/>
    <col min="11" max="11" width="6.85546875" bestFit="1" customWidth="1"/>
    <col min="12" max="12" width="9.85546875" bestFit="1" customWidth="1"/>
    <col min="13" max="13" width="8.42578125" bestFit="1" customWidth="1"/>
    <col min="14" max="14" width="6.85546875" bestFit="1" customWidth="1"/>
    <col min="15" max="15" width="9.85546875" bestFit="1" customWidth="1"/>
    <col min="16" max="16" width="8.42578125" bestFit="1" customWidth="1"/>
    <col min="17" max="17" width="5" customWidth="1"/>
    <col min="18" max="18" width="14" bestFit="1" customWidth="1"/>
    <col min="19" max="19" width="11.85546875" bestFit="1" customWidth="1"/>
    <col min="20" max="20" width="8.85546875" bestFit="1" customWidth="1"/>
    <col min="21" max="21" width="12.140625" bestFit="1" customWidth="1"/>
  </cols>
  <sheetData>
    <row r="1" spans="2:15" x14ac:dyDescent="0.2">
      <c r="B1" s="2" t="s">
        <v>64</v>
      </c>
      <c r="C1" s="2"/>
      <c r="D1" s="4"/>
      <c r="E1" s="4"/>
      <c r="I1" s="38"/>
    </row>
    <row r="2" spans="2:15" x14ac:dyDescent="0.2">
      <c r="B2" s="45" t="s">
        <v>86</v>
      </c>
      <c r="C2" s="2">
        <f>Estimación!D5</f>
        <v>0</v>
      </c>
      <c r="D2" s="4"/>
      <c r="E2" s="4"/>
      <c r="I2" s="38"/>
    </row>
    <row r="3" spans="2:15" x14ac:dyDescent="0.2">
      <c r="B3" s="2" t="s">
        <v>87</v>
      </c>
      <c r="C3" s="2">
        <f>Estimación!D2</f>
        <v>0</v>
      </c>
      <c r="D3" s="4"/>
      <c r="E3" s="4"/>
      <c r="I3" s="38"/>
    </row>
    <row r="4" spans="2:15" ht="13.5" thickBot="1" x14ac:dyDescent="0.25">
      <c r="B4" s="2"/>
      <c r="C4" s="2"/>
      <c r="D4" s="4"/>
      <c r="E4" s="4"/>
      <c r="I4" s="38"/>
    </row>
    <row r="5" spans="2:15" ht="37.5" customHeight="1" thickBot="1" x14ac:dyDescent="0.25">
      <c r="C5" s="266" t="s">
        <v>68</v>
      </c>
      <c r="D5" s="251" t="s">
        <v>82</v>
      </c>
      <c r="E5" s="252"/>
      <c r="F5" s="127" t="s">
        <v>133</v>
      </c>
      <c r="G5" s="317" t="s">
        <v>84</v>
      </c>
      <c r="H5" s="318"/>
      <c r="I5" s="318"/>
      <c r="J5" s="318"/>
      <c r="K5" s="318"/>
      <c r="L5" s="318"/>
      <c r="M5" s="318"/>
      <c r="N5" s="318"/>
      <c r="O5" s="319"/>
    </row>
    <row r="6" spans="2:15" ht="13.5" thickBot="1" x14ac:dyDescent="0.25">
      <c r="C6" s="267"/>
      <c r="D6" s="253"/>
      <c r="E6" s="254"/>
      <c r="F6" s="147" t="s">
        <v>99</v>
      </c>
      <c r="G6" s="320"/>
      <c r="H6" s="321"/>
      <c r="I6" s="321"/>
      <c r="J6" s="321"/>
      <c r="K6" s="321"/>
      <c r="L6" s="321"/>
      <c r="M6" s="321"/>
      <c r="N6" s="321"/>
      <c r="O6" s="322"/>
    </row>
    <row r="7" spans="2:15" x14ac:dyDescent="0.2">
      <c r="C7" s="69">
        <v>0</v>
      </c>
      <c r="D7" s="264">
        <f>Programacion!D7</f>
        <v>0</v>
      </c>
      <c r="E7" s="265"/>
      <c r="F7" s="150" t="e">
        <f>'Detalle Testing'!E12</f>
        <v>#N/A</v>
      </c>
      <c r="G7" s="323"/>
      <c r="H7" s="324"/>
      <c r="I7" s="324"/>
      <c r="J7" s="324"/>
      <c r="K7" s="324"/>
      <c r="L7" s="324"/>
      <c r="M7" s="324"/>
      <c r="N7" s="324"/>
      <c r="O7" s="325"/>
    </row>
    <row r="8" spans="2:15" x14ac:dyDescent="0.2">
      <c r="C8" s="43"/>
      <c r="D8" s="264">
        <f>Programacion!D8</f>
        <v>0</v>
      </c>
      <c r="E8" s="265"/>
      <c r="F8" s="151">
        <f>'Detalle Testing'!E24</f>
        <v>0</v>
      </c>
      <c r="G8" s="268"/>
      <c r="H8" s="269"/>
      <c r="I8" s="269"/>
      <c r="J8" s="269"/>
      <c r="K8" s="269"/>
      <c r="L8" s="269"/>
      <c r="M8" s="269"/>
      <c r="N8" s="269"/>
      <c r="O8" s="270"/>
    </row>
    <row r="9" spans="2:15" x14ac:dyDescent="0.2">
      <c r="C9" s="43"/>
      <c r="D9" s="264">
        <f>Programacion!D9</f>
        <v>0</v>
      </c>
      <c r="E9" s="265"/>
      <c r="F9" s="151">
        <f>'Detalle Testing'!E36</f>
        <v>0</v>
      </c>
      <c r="G9" s="268"/>
      <c r="H9" s="269"/>
      <c r="I9" s="269"/>
      <c r="J9" s="269"/>
      <c r="K9" s="269"/>
      <c r="L9" s="269"/>
      <c r="M9" s="269"/>
      <c r="N9" s="269"/>
      <c r="O9" s="270"/>
    </row>
    <row r="10" spans="2:15" x14ac:dyDescent="0.2">
      <c r="C10" s="43"/>
      <c r="D10" s="264" t="e">
        <f>Programacion!#REF!</f>
        <v>#REF!</v>
      </c>
      <c r="E10" s="265"/>
      <c r="F10" s="151" t="e">
        <f>'Detalle Testing'!E48</f>
        <v>#REF!</v>
      </c>
      <c r="G10" s="268"/>
      <c r="H10" s="269"/>
      <c r="I10" s="269"/>
      <c r="J10" s="269"/>
      <c r="K10" s="269"/>
      <c r="L10" s="269"/>
      <c r="M10" s="269"/>
      <c r="N10" s="269"/>
      <c r="O10" s="270"/>
    </row>
    <row r="11" spans="2:15" x14ac:dyDescent="0.2">
      <c r="C11" s="43"/>
      <c r="D11" s="264" t="e">
        <f>Programacion!#REF!</f>
        <v>#REF!</v>
      </c>
      <c r="E11" s="265"/>
      <c r="F11" s="151" t="e">
        <f>'Detalle Testing'!E60</f>
        <v>#REF!</v>
      </c>
      <c r="G11" s="268"/>
      <c r="H11" s="269"/>
      <c r="I11" s="269"/>
      <c r="J11" s="269"/>
      <c r="K11" s="269"/>
      <c r="L11" s="269"/>
      <c r="M11" s="269"/>
      <c r="N11" s="269"/>
      <c r="O11" s="270"/>
    </row>
    <row r="12" spans="2:15" x14ac:dyDescent="0.2">
      <c r="C12" s="125"/>
      <c r="D12" s="264" t="e">
        <f>Programacion!#REF!</f>
        <v>#REF!</v>
      </c>
      <c r="E12" s="265"/>
      <c r="F12" s="151" t="e">
        <f>'Detalle Testing'!E72</f>
        <v>#REF!</v>
      </c>
      <c r="G12" s="268"/>
      <c r="H12" s="269"/>
      <c r="I12" s="269"/>
      <c r="J12" s="269"/>
      <c r="K12" s="269"/>
      <c r="L12" s="269"/>
      <c r="M12" s="269"/>
      <c r="N12" s="269"/>
      <c r="O12" s="270"/>
    </row>
    <row r="13" spans="2:15" x14ac:dyDescent="0.2">
      <c r="C13" s="125"/>
      <c r="D13" s="264" t="e">
        <f>Programacion!#REF!</f>
        <v>#REF!</v>
      </c>
      <c r="E13" s="265"/>
      <c r="F13" s="151" t="e">
        <f>'Detalle Testing'!E84</f>
        <v>#REF!</v>
      </c>
      <c r="G13" s="268"/>
      <c r="H13" s="269"/>
      <c r="I13" s="269"/>
      <c r="J13" s="269"/>
      <c r="K13" s="269"/>
      <c r="L13" s="269"/>
      <c r="M13" s="269"/>
      <c r="N13" s="269"/>
      <c r="O13" s="270"/>
    </row>
    <row r="14" spans="2:15" x14ac:dyDescent="0.2">
      <c r="C14" s="125"/>
      <c r="D14" s="264">
        <f>Programacion!D10</f>
        <v>0</v>
      </c>
      <c r="E14" s="265"/>
      <c r="F14" s="151">
        <f>'Detalle Testing'!E96</f>
        <v>0</v>
      </c>
      <c r="G14" s="268"/>
      <c r="H14" s="269"/>
      <c r="I14" s="269"/>
      <c r="J14" s="269"/>
      <c r="K14" s="269"/>
      <c r="L14" s="269"/>
      <c r="M14" s="269"/>
      <c r="N14" s="269"/>
      <c r="O14" s="270"/>
    </row>
    <row r="15" spans="2:15" x14ac:dyDescent="0.2">
      <c r="C15" s="125"/>
      <c r="D15" s="264" t="e">
        <f>Programacion!#REF!</f>
        <v>#REF!</v>
      </c>
      <c r="E15" s="265"/>
      <c r="F15" s="151" t="e">
        <f>'Detalle Testing'!E108</f>
        <v>#REF!</v>
      </c>
      <c r="G15" s="268"/>
      <c r="H15" s="269"/>
      <c r="I15" s="269"/>
      <c r="J15" s="269"/>
      <c r="K15" s="269"/>
      <c r="L15" s="269"/>
      <c r="M15" s="269"/>
      <c r="N15" s="269"/>
      <c r="O15" s="270"/>
    </row>
    <row r="16" spans="2:15" ht="13.5" thickBot="1" x14ac:dyDescent="0.25">
      <c r="C16" s="68"/>
      <c r="D16" s="264">
        <f>Programacion!D11</f>
        <v>0</v>
      </c>
      <c r="E16" s="265"/>
      <c r="F16" s="152">
        <f>'Detalle Testing'!E120</f>
        <v>0</v>
      </c>
      <c r="G16" s="255"/>
      <c r="H16" s="256"/>
      <c r="I16" s="256"/>
      <c r="J16" s="256"/>
      <c r="K16" s="256"/>
      <c r="L16" s="256"/>
      <c r="M16" s="256"/>
      <c r="N16" s="256"/>
      <c r="O16" s="257"/>
    </row>
    <row r="17" spans="1:21" ht="13.5" thickBot="1" x14ac:dyDescent="0.25">
      <c r="C17" s="44" t="s">
        <v>85</v>
      </c>
      <c r="D17" s="247"/>
      <c r="E17" s="248"/>
      <c r="F17" s="153" t="e">
        <f>SUM(F7:F16)</f>
        <v>#N/A</v>
      </c>
      <c r="G17" s="258"/>
      <c r="H17" s="259"/>
      <c r="I17" s="259"/>
      <c r="J17" s="259"/>
      <c r="K17" s="259"/>
      <c r="L17" s="259"/>
      <c r="M17" s="259"/>
      <c r="N17" s="259"/>
      <c r="O17" s="260"/>
    </row>
    <row r="18" spans="1:21" x14ac:dyDescent="0.2">
      <c r="B18" s="2"/>
      <c r="C18" s="2"/>
      <c r="D18" s="4"/>
      <c r="E18" s="4"/>
      <c r="I18" s="38"/>
    </row>
    <row r="19" spans="1:21" ht="13.5" thickBot="1" x14ac:dyDescent="0.25"/>
    <row r="20" spans="1:21" ht="26.25" thickBot="1" x14ac:dyDescent="0.25">
      <c r="A20" s="305"/>
      <c r="B20" s="306"/>
      <c r="C20" s="307"/>
      <c r="D20" s="122" t="s">
        <v>103</v>
      </c>
      <c r="E20" s="271" t="s">
        <v>104</v>
      </c>
      <c r="F20" s="273"/>
      <c r="G20" s="273"/>
      <c r="H20" s="273"/>
      <c r="I20" s="273"/>
      <c r="J20" s="274"/>
      <c r="K20" s="261" t="s">
        <v>105</v>
      </c>
      <c r="L20" s="262"/>
      <c r="M20" s="263"/>
      <c r="N20" s="261" t="s">
        <v>106</v>
      </c>
      <c r="O20" s="262"/>
      <c r="P20" s="263"/>
      <c r="Q20" s="108"/>
      <c r="R20" s="271" t="s">
        <v>102</v>
      </c>
      <c r="S20" s="272"/>
      <c r="T20" s="273"/>
      <c r="U20" s="274"/>
    </row>
    <row r="21" spans="1:21" ht="13.5" thickBot="1" x14ac:dyDescent="0.25">
      <c r="A21" s="275" t="s">
        <v>82</v>
      </c>
      <c r="B21" s="276"/>
      <c r="C21" s="277"/>
      <c r="D21" s="154" t="e">
        <f>Programacion!$F$7/0.4*0.2</f>
        <v>#N/A</v>
      </c>
      <c r="E21" s="112" t="s">
        <v>107</v>
      </c>
      <c r="F21" s="110" t="s">
        <v>108</v>
      </c>
      <c r="G21" s="110" t="s">
        <v>109</v>
      </c>
      <c r="H21" s="110" t="s">
        <v>110</v>
      </c>
      <c r="I21" s="110" t="s">
        <v>111</v>
      </c>
      <c r="J21" s="111" t="s">
        <v>112</v>
      </c>
      <c r="K21" s="109" t="s">
        <v>110</v>
      </c>
      <c r="L21" s="110" t="s">
        <v>113</v>
      </c>
      <c r="M21" s="111" t="s">
        <v>114</v>
      </c>
      <c r="N21" s="109" t="s">
        <v>110</v>
      </c>
      <c r="O21" s="112" t="s">
        <v>113</v>
      </c>
      <c r="P21" s="111" t="s">
        <v>114</v>
      </c>
      <c r="Q21" s="103"/>
      <c r="R21" s="117" t="s">
        <v>108</v>
      </c>
      <c r="S21" s="118" t="s">
        <v>115</v>
      </c>
      <c r="T21" s="118" t="s">
        <v>116</v>
      </c>
      <c r="U21" s="119" t="s">
        <v>117</v>
      </c>
    </row>
    <row r="22" spans="1:21" ht="13.5" thickBot="1" x14ac:dyDescent="0.25">
      <c r="A22" s="280"/>
      <c r="B22" s="281"/>
      <c r="C22" s="282"/>
      <c r="D22" s="120" t="s">
        <v>118</v>
      </c>
      <c r="E22" s="289" t="e">
        <f>D21/2</f>
        <v>#N/A</v>
      </c>
      <c r="F22" s="290"/>
      <c r="G22" s="290"/>
      <c r="H22" s="290"/>
      <c r="I22" s="290"/>
      <c r="J22" s="291"/>
      <c r="K22" s="289" t="e">
        <f>D21*30%</f>
        <v>#N/A</v>
      </c>
      <c r="L22" s="290"/>
      <c r="M22" s="292"/>
      <c r="N22" s="293" t="e">
        <f>D21*20%</f>
        <v>#N/A</v>
      </c>
      <c r="O22" s="294"/>
      <c r="P22" s="295"/>
      <c r="Q22" s="103"/>
      <c r="R22" s="296">
        <v>0</v>
      </c>
      <c r="S22" s="297"/>
      <c r="T22" s="297"/>
      <c r="U22" s="298"/>
    </row>
    <row r="23" spans="1:21" x14ac:dyDescent="0.2">
      <c r="A23" s="283"/>
      <c r="B23" s="284"/>
      <c r="C23" s="285"/>
      <c r="D23" s="113" t="s">
        <v>119</v>
      </c>
      <c r="E23" s="78">
        <v>0.05</v>
      </c>
      <c r="F23" s="79">
        <v>0.3</v>
      </c>
      <c r="G23" s="79">
        <v>0.2</v>
      </c>
      <c r="H23" s="79">
        <v>0.15</v>
      </c>
      <c r="I23" s="79">
        <v>0.1</v>
      </c>
      <c r="J23" s="100">
        <v>0.2</v>
      </c>
      <c r="K23" s="78">
        <v>0.1</v>
      </c>
      <c r="L23" s="79">
        <v>0.7</v>
      </c>
      <c r="M23" s="80">
        <v>0.2</v>
      </c>
      <c r="N23" s="78">
        <v>0.1</v>
      </c>
      <c r="O23" s="81">
        <v>0.7</v>
      </c>
      <c r="P23" s="80">
        <v>0.2</v>
      </c>
      <c r="Q23" s="103"/>
      <c r="R23" s="105">
        <v>0.15</v>
      </c>
      <c r="S23" s="106">
        <v>0.55000000000000004</v>
      </c>
      <c r="T23" s="106">
        <v>0.15</v>
      </c>
      <c r="U23" s="107">
        <v>0.15</v>
      </c>
    </row>
    <row r="24" spans="1:21" x14ac:dyDescent="0.2">
      <c r="A24" s="283"/>
      <c r="B24" s="284"/>
      <c r="C24" s="285"/>
      <c r="D24" s="113" t="s">
        <v>120</v>
      </c>
      <c r="E24" s="88" t="e">
        <f>E22*E23</f>
        <v>#N/A</v>
      </c>
      <c r="F24" s="89" t="e">
        <f>E22*F23</f>
        <v>#N/A</v>
      </c>
      <c r="G24" s="89" t="e">
        <f>E22*G23</f>
        <v>#N/A</v>
      </c>
      <c r="H24" s="89" t="e">
        <f>E22*H23</f>
        <v>#N/A</v>
      </c>
      <c r="I24" s="89" t="e">
        <f>E22*I23</f>
        <v>#N/A</v>
      </c>
      <c r="J24" s="101" t="e">
        <f>E22*J23</f>
        <v>#N/A</v>
      </c>
      <c r="K24" s="88" t="e">
        <f>K23*K22</f>
        <v>#N/A</v>
      </c>
      <c r="L24" s="89" t="e">
        <f>K22*L23</f>
        <v>#N/A</v>
      </c>
      <c r="M24" s="90" t="e">
        <f>K22*M23</f>
        <v>#N/A</v>
      </c>
      <c r="N24" s="82" t="e">
        <f>N22*N23</f>
        <v>#N/A</v>
      </c>
      <c r="O24" s="84" t="e">
        <f>N22*O23</f>
        <v>#N/A</v>
      </c>
      <c r="P24" s="83" t="e">
        <f>N22*P23</f>
        <v>#N/A</v>
      </c>
      <c r="Q24" s="103"/>
      <c r="R24" s="88">
        <f>R22*R23</f>
        <v>0</v>
      </c>
      <c r="S24" s="89">
        <f>R22*S23</f>
        <v>0</v>
      </c>
      <c r="T24" s="89">
        <f>R22*T23</f>
        <v>0</v>
      </c>
      <c r="U24" s="90">
        <f>R22*U23</f>
        <v>0</v>
      </c>
    </row>
    <row r="25" spans="1:21" x14ac:dyDescent="0.2">
      <c r="A25" s="283"/>
      <c r="B25" s="284"/>
      <c r="C25" s="285"/>
      <c r="D25" s="113" t="s">
        <v>5</v>
      </c>
      <c r="E25" s="123">
        <v>1</v>
      </c>
      <c r="F25" s="104">
        <v>1</v>
      </c>
      <c r="G25" s="104">
        <v>1</v>
      </c>
      <c r="H25" s="104">
        <v>1</v>
      </c>
      <c r="I25" s="104">
        <v>1</v>
      </c>
      <c r="J25" s="128">
        <v>1</v>
      </c>
      <c r="K25" s="123">
        <v>1</v>
      </c>
      <c r="L25" s="104">
        <v>1</v>
      </c>
      <c r="M25" s="128">
        <v>1</v>
      </c>
      <c r="N25" s="123">
        <v>1</v>
      </c>
      <c r="O25" s="104">
        <v>1</v>
      </c>
      <c r="P25" s="124">
        <v>1</v>
      </c>
      <c r="Q25" s="103"/>
      <c r="R25" s="123">
        <v>1</v>
      </c>
      <c r="S25" s="104">
        <v>1</v>
      </c>
      <c r="T25" s="104">
        <v>1</v>
      </c>
      <c r="U25" s="133">
        <v>1</v>
      </c>
    </row>
    <row r="26" spans="1:21" ht="13.5" thickBot="1" x14ac:dyDescent="0.25">
      <c r="A26" s="286"/>
      <c r="B26" s="287"/>
      <c r="C26" s="288"/>
      <c r="D26" s="114" t="s">
        <v>121</v>
      </c>
      <c r="E26" s="97" t="e">
        <f t="shared" ref="E26:P26" si="0">(E24*(IF(E25=1,0%,IF(E25=2,25%,IF(E25=3,50%,IF(E25=4,75%,IF(E25=5,100%)))))))+E24</f>
        <v>#N/A</v>
      </c>
      <c r="F26" s="98" t="e">
        <f t="shared" si="0"/>
        <v>#N/A</v>
      </c>
      <c r="G26" s="98" t="e">
        <f t="shared" si="0"/>
        <v>#N/A</v>
      </c>
      <c r="H26" s="98" t="e">
        <f t="shared" si="0"/>
        <v>#N/A</v>
      </c>
      <c r="I26" s="98" t="e">
        <f t="shared" si="0"/>
        <v>#N/A</v>
      </c>
      <c r="J26" s="102" t="e">
        <f t="shared" si="0"/>
        <v>#N/A</v>
      </c>
      <c r="K26" s="97" t="e">
        <f t="shared" si="0"/>
        <v>#N/A</v>
      </c>
      <c r="L26" s="98" t="e">
        <f t="shared" si="0"/>
        <v>#N/A</v>
      </c>
      <c r="M26" s="99" t="e">
        <f t="shared" si="0"/>
        <v>#N/A</v>
      </c>
      <c r="N26" s="86" t="e">
        <f t="shared" si="0"/>
        <v>#N/A</v>
      </c>
      <c r="O26" s="87" t="e">
        <f t="shared" si="0"/>
        <v>#N/A</v>
      </c>
      <c r="P26" s="85" t="e">
        <f t="shared" si="0"/>
        <v>#N/A</v>
      </c>
      <c r="Q26" s="103"/>
      <c r="R26" s="86">
        <f>(R24*(IF(R25=1,0%,IF(R25=2,25%,IF(R25=3,50%,IF(R25=4,75%,IF(R25=5,100%)))))))+R24</f>
        <v>0</v>
      </c>
      <c r="S26" s="98">
        <f>(S24*(IF(S25=1,0%,IF(S25=2,25%,IF(S25=3,50%,IF(S25=4,75%,IF(S25=5,100%)))))))+S24</f>
        <v>0</v>
      </c>
      <c r="T26" s="98">
        <f>(T24*(IF(T25=1,0%,IF(T25=2,25%,IF(T25=3,50%,IF(T25=4,75%,IF(T25=5,100%)))))))+T24</f>
        <v>0</v>
      </c>
      <c r="U26" s="99">
        <f>(U24*(IF(U25=1,0%,IF(U25=2,25%,IF(U25=3,50%,IF(U25=4,75%,IF(U25=5,100%)))))))+U24</f>
        <v>0</v>
      </c>
    </row>
    <row r="27" spans="1:21" ht="26.25" thickBot="1" x14ac:dyDescent="0.25">
      <c r="A27" s="308"/>
      <c r="B27" s="309"/>
      <c r="C27" s="310"/>
      <c r="D27" s="115" t="s">
        <v>122</v>
      </c>
      <c r="E27" s="299" t="e">
        <f>SUM(E26:J26)</f>
        <v>#N/A</v>
      </c>
      <c r="F27" s="300"/>
      <c r="G27" s="300"/>
      <c r="H27" s="300"/>
      <c r="I27" s="300"/>
      <c r="J27" s="301"/>
      <c r="K27" s="299" t="e">
        <f>SUM(K26:M26)</f>
        <v>#N/A</v>
      </c>
      <c r="L27" s="300"/>
      <c r="M27" s="301"/>
      <c r="N27" s="302" t="e">
        <f>SUM(N26:P26)</f>
        <v>#N/A</v>
      </c>
      <c r="O27" s="303"/>
      <c r="P27" s="304"/>
      <c r="Q27" s="103"/>
      <c r="R27" s="299">
        <f>SUM(R26:U26)</f>
        <v>0</v>
      </c>
      <c r="S27" s="300"/>
      <c r="T27" s="300"/>
      <c r="U27" s="301"/>
    </row>
    <row r="28" spans="1:21" ht="13.5" thickBot="1" x14ac:dyDescent="0.25">
      <c r="A28" s="311"/>
      <c r="B28" s="312"/>
      <c r="C28" s="313"/>
      <c r="D28" s="91"/>
      <c r="E28" s="92"/>
      <c r="F28" s="92"/>
      <c r="G28" s="92"/>
      <c r="H28" s="92"/>
      <c r="I28" s="92"/>
      <c r="J28" s="92"/>
      <c r="K28" s="92"/>
      <c r="L28" s="92"/>
      <c r="M28" s="92"/>
      <c r="N28" s="92"/>
      <c r="O28" s="92"/>
      <c r="P28" s="92"/>
      <c r="Q28" s="103"/>
      <c r="R28" s="92"/>
      <c r="S28" s="92"/>
      <c r="T28" s="92"/>
      <c r="U28" s="92"/>
    </row>
    <row r="29" spans="1:21" ht="13.5" thickBot="1" x14ac:dyDescent="0.25">
      <c r="A29" s="314"/>
      <c r="B29" s="315"/>
      <c r="C29" s="316"/>
      <c r="D29" s="116" t="s">
        <v>123</v>
      </c>
      <c r="E29" s="278" t="e">
        <f>SUM(E27:P27)+R27</f>
        <v>#N/A</v>
      </c>
      <c r="F29" s="279"/>
      <c r="G29" s="103"/>
      <c r="H29" s="103"/>
      <c r="I29" s="103"/>
      <c r="J29" s="103"/>
      <c r="K29" s="103"/>
      <c r="L29" s="103"/>
      <c r="M29" s="103"/>
      <c r="N29" s="103"/>
      <c r="O29" s="103"/>
      <c r="P29" s="103"/>
      <c r="Q29" s="103"/>
      <c r="R29" s="103"/>
      <c r="S29" s="103"/>
      <c r="T29" s="103"/>
      <c r="U29" s="103"/>
    </row>
  </sheetData>
  <dataConsolidate/>
  <mergeCells count="42">
    <mergeCell ref="G5:O6"/>
    <mergeCell ref="G7:O7"/>
    <mergeCell ref="G8:O8"/>
    <mergeCell ref="G9:O9"/>
    <mergeCell ref="G10:O10"/>
    <mergeCell ref="R20:U20"/>
    <mergeCell ref="A21:C21"/>
    <mergeCell ref="E29:F29"/>
    <mergeCell ref="A22:C26"/>
    <mergeCell ref="E22:J22"/>
    <mergeCell ref="K22:M22"/>
    <mergeCell ref="N22:P22"/>
    <mergeCell ref="R22:U22"/>
    <mergeCell ref="E27:J27"/>
    <mergeCell ref="K27:M27"/>
    <mergeCell ref="N27:P27"/>
    <mergeCell ref="R27:U27"/>
    <mergeCell ref="A20:C20"/>
    <mergeCell ref="A27:C29"/>
    <mergeCell ref="E20:J20"/>
    <mergeCell ref="K20:M20"/>
    <mergeCell ref="D12:E12"/>
    <mergeCell ref="D13:E13"/>
    <mergeCell ref="D14:E14"/>
    <mergeCell ref="D15:E15"/>
    <mergeCell ref="D16:E16"/>
    <mergeCell ref="G16:O16"/>
    <mergeCell ref="G17:O17"/>
    <mergeCell ref="N20:P20"/>
    <mergeCell ref="D10:E10"/>
    <mergeCell ref="C5:C6"/>
    <mergeCell ref="D5:E6"/>
    <mergeCell ref="D7:E7"/>
    <mergeCell ref="D8:E8"/>
    <mergeCell ref="D9:E9"/>
    <mergeCell ref="G11:O11"/>
    <mergeCell ref="G12:O12"/>
    <mergeCell ref="G13:O13"/>
    <mergeCell ref="G14:O14"/>
    <mergeCell ref="G15:O15"/>
    <mergeCell ref="D17:E17"/>
    <mergeCell ref="D11:E11"/>
  </mergeCells>
  <dataValidations count="2">
    <dataValidation allowBlank="1" errorTitle="no corresponde" error="no corresponde a los parámetros definidos" promptTitle="complejidad" prompt="seleccione calificación según las referencias" sqref="G17 F7:F17"/>
    <dataValidation type="list" allowBlank="1" showInputMessage="1" showErrorMessage="1" sqref="E25:P25 R25:U25">
      <formula1>complejidad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81" r:id="rId4" name="Button 13">
              <controlPr defaultSize="0" print="0" autoFill="0" autoPict="0" macro="[0]!Btn_Save">
                <anchor moveWithCells="1" sizeWithCells="1">
                  <from>
                    <xdr:col>4</xdr:col>
                    <xdr:colOff>19050</xdr:colOff>
                    <xdr:row>29</xdr:row>
                    <xdr:rowOff>76200</xdr:rowOff>
                  </from>
                  <to>
                    <xdr:col>5</xdr:col>
                    <xdr:colOff>600075</xdr:colOff>
                    <xdr:row>30</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Programacion!$D$7:$D$11</xm:f>
          </x14:formula1>
          <xm:sqref>A22:C26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U120"/>
  <sheetViews>
    <sheetView zoomScale="90" zoomScaleNormal="90" workbookViewId="0">
      <selection activeCell="E22" sqref="E22:J22"/>
    </sheetView>
  </sheetViews>
  <sheetFormatPr baseColWidth="10" defaultColWidth="9.140625" defaultRowHeight="12.75" x14ac:dyDescent="0.2"/>
  <cols>
    <col min="1" max="3" width="9.140625" style="54"/>
    <col min="4" max="4" width="29.28515625" bestFit="1" customWidth="1"/>
    <col min="5" max="5" width="9.5703125" bestFit="1" customWidth="1"/>
    <col min="6" max="6" width="14" bestFit="1" customWidth="1"/>
    <col min="7" max="7" width="12.42578125" bestFit="1" customWidth="1"/>
    <col min="8" max="8" width="6.85546875" bestFit="1" customWidth="1"/>
    <col min="9" max="9" width="8.28515625" bestFit="1" customWidth="1"/>
    <col min="10" max="10" width="11" bestFit="1" customWidth="1"/>
    <col min="11" max="11" width="6.85546875" bestFit="1" customWidth="1"/>
    <col min="12" max="12" width="9.85546875" bestFit="1" customWidth="1"/>
    <col min="13" max="13" width="8.42578125" bestFit="1" customWidth="1"/>
    <col min="14" max="14" width="6.85546875" bestFit="1" customWidth="1"/>
    <col min="15" max="15" width="9.85546875" bestFit="1" customWidth="1"/>
    <col min="16" max="16" width="8.42578125" bestFit="1" customWidth="1"/>
    <col min="18" max="18" width="14" bestFit="1" customWidth="1"/>
    <col min="19" max="19" width="11.85546875" bestFit="1" customWidth="1"/>
    <col min="20" max="20" width="8.85546875" bestFit="1" customWidth="1"/>
    <col min="21" max="21" width="12.140625" bestFit="1" customWidth="1"/>
  </cols>
  <sheetData>
    <row r="2" spans="1:21" ht="13.5" thickBot="1" x14ac:dyDescent="0.25"/>
    <row r="3" spans="1:21" ht="26.25" thickBot="1" x14ac:dyDescent="0.25">
      <c r="A3" s="305"/>
      <c r="B3" s="306"/>
      <c r="C3" s="307"/>
      <c r="D3" s="122" t="s">
        <v>103</v>
      </c>
      <c r="E3" s="329" t="s">
        <v>104</v>
      </c>
      <c r="F3" s="330"/>
      <c r="G3" s="330"/>
      <c r="H3" s="330"/>
      <c r="I3" s="330"/>
      <c r="J3" s="331"/>
      <c r="K3" s="329" t="s">
        <v>105</v>
      </c>
      <c r="L3" s="330"/>
      <c r="M3" s="331"/>
      <c r="N3" s="329" t="s">
        <v>106</v>
      </c>
      <c r="O3" s="330"/>
      <c r="P3" s="331"/>
      <c r="Q3" s="108"/>
      <c r="R3" s="329" t="s">
        <v>102</v>
      </c>
      <c r="S3" s="330"/>
      <c r="T3" s="330"/>
      <c r="U3" s="331"/>
    </row>
    <row r="4" spans="1:21" ht="13.5" thickBot="1" x14ac:dyDescent="0.25">
      <c r="A4" s="275" t="s">
        <v>82</v>
      </c>
      <c r="B4" s="276"/>
      <c r="C4" s="277"/>
      <c r="D4" s="121" t="e">
        <f>Programacion!$F$7/0.4*0.2</f>
        <v>#N/A</v>
      </c>
      <c r="E4" s="112" t="s">
        <v>107</v>
      </c>
      <c r="F4" s="110" t="s">
        <v>108</v>
      </c>
      <c r="G4" s="110" t="s">
        <v>109</v>
      </c>
      <c r="H4" s="110" t="s">
        <v>110</v>
      </c>
      <c r="I4" s="110" t="s">
        <v>111</v>
      </c>
      <c r="J4" s="111" t="s">
        <v>112</v>
      </c>
      <c r="K4" s="109" t="s">
        <v>110</v>
      </c>
      <c r="L4" s="110" t="s">
        <v>113</v>
      </c>
      <c r="M4" s="111" t="s">
        <v>114</v>
      </c>
      <c r="N4" s="109" t="s">
        <v>110</v>
      </c>
      <c r="O4" s="112" t="s">
        <v>113</v>
      </c>
      <c r="P4" s="111" t="s">
        <v>114</v>
      </c>
      <c r="Q4" s="103"/>
      <c r="R4" s="117" t="s">
        <v>108</v>
      </c>
      <c r="S4" s="118" t="s">
        <v>115</v>
      </c>
      <c r="T4" s="118" t="s">
        <v>116</v>
      </c>
      <c r="U4" s="119" t="s">
        <v>117</v>
      </c>
    </row>
    <row r="5" spans="1:21" ht="13.5" thickBot="1" x14ac:dyDescent="0.25">
      <c r="A5" s="309">
        <f>Programacion!D7</f>
        <v>0</v>
      </c>
      <c r="B5" s="309"/>
      <c r="C5" s="310"/>
      <c r="D5" s="120" t="s">
        <v>118</v>
      </c>
      <c r="E5" s="289" t="e">
        <f>D4/2</f>
        <v>#N/A</v>
      </c>
      <c r="F5" s="290"/>
      <c r="G5" s="290"/>
      <c r="H5" s="290"/>
      <c r="I5" s="290"/>
      <c r="J5" s="291"/>
      <c r="K5" s="289" t="e">
        <f>D4*30%</f>
        <v>#N/A</v>
      </c>
      <c r="L5" s="290"/>
      <c r="M5" s="292"/>
      <c r="N5" s="293" t="e">
        <f>D4*20%</f>
        <v>#N/A</v>
      </c>
      <c r="O5" s="294"/>
      <c r="P5" s="295"/>
      <c r="Q5" s="103"/>
      <c r="R5" s="296">
        <v>0</v>
      </c>
      <c r="S5" s="297"/>
      <c r="T5" s="297"/>
      <c r="U5" s="298"/>
    </row>
    <row r="6" spans="1:21" x14ac:dyDescent="0.2">
      <c r="A6" s="328"/>
      <c r="B6" s="328"/>
      <c r="C6" s="313"/>
      <c r="D6" s="113" t="s">
        <v>119</v>
      </c>
      <c r="E6" s="78">
        <v>0.05</v>
      </c>
      <c r="F6" s="79">
        <v>0.3</v>
      </c>
      <c r="G6" s="79">
        <v>0.2</v>
      </c>
      <c r="H6" s="79">
        <v>0.15</v>
      </c>
      <c r="I6" s="79">
        <v>0.1</v>
      </c>
      <c r="J6" s="100">
        <v>0.2</v>
      </c>
      <c r="K6" s="78">
        <v>0.1</v>
      </c>
      <c r="L6" s="79">
        <v>0.7</v>
      </c>
      <c r="M6" s="80">
        <v>0.2</v>
      </c>
      <c r="N6" s="78">
        <v>0.1</v>
      </c>
      <c r="O6" s="81">
        <v>0.7</v>
      </c>
      <c r="P6" s="80">
        <v>0.2</v>
      </c>
      <c r="Q6" s="103"/>
      <c r="R6" s="105">
        <v>0.15</v>
      </c>
      <c r="S6" s="106">
        <v>0.55000000000000004</v>
      </c>
      <c r="T6" s="106">
        <v>0.15</v>
      </c>
      <c r="U6" s="107">
        <v>0.15</v>
      </c>
    </row>
    <row r="7" spans="1:21" x14ac:dyDescent="0.2">
      <c r="A7" s="328"/>
      <c r="B7" s="328"/>
      <c r="C7" s="313"/>
      <c r="D7" s="113" t="s">
        <v>120</v>
      </c>
      <c r="E7" s="88" t="e">
        <f>E5*E6</f>
        <v>#N/A</v>
      </c>
      <c r="F7" s="89" t="e">
        <f>E5*F6</f>
        <v>#N/A</v>
      </c>
      <c r="G7" s="89" t="e">
        <f>E5*G6</f>
        <v>#N/A</v>
      </c>
      <c r="H7" s="89" t="e">
        <f>E5*H6</f>
        <v>#N/A</v>
      </c>
      <c r="I7" s="89" t="e">
        <f>E5*I6</f>
        <v>#N/A</v>
      </c>
      <c r="J7" s="101" t="e">
        <f>E5*J6</f>
        <v>#N/A</v>
      </c>
      <c r="K7" s="88" t="e">
        <f>K6*K5</f>
        <v>#N/A</v>
      </c>
      <c r="L7" s="89" t="e">
        <f>K5*L6</f>
        <v>#N/A</v>
      </c>
      <c r="M7" s="90" t="e">
        <f>K5*M6</f>
        <v>#N/A</v>
      </c>
      <c r="N7" s="82" t="e">
        <f>N5*N6</f>
        <v>#N/A</v>
      </c>
      <c r="O7" s="84" t="e">
        <f>N5*O6</f>
        <v>#N/A</v>
      </c>
      <c r="P7" s="83" t="e">
        <f>N5*P6</f>
        <v>#N/A</v>
      </c>
      <c r="Q7" s="103"/>
      <c r="R7" s="88">
        <f>R5*R6</f>
        <v>0</v>
      </c>
      <c r="S7" s="89">
        <f>R5*S6</f>
        <v>0</v>
      </c>
      <c r="T7" s="89">
        <f>R5*T6</f>
        <v>0</v>
      </c>
      <c r="U7" s="90">
        <f>R5*U6</f>
        <v>0</v>
      </c>
    </row>
    <row r="8" spans="1:21" x14ac:dyDescent="0.2">
      <c r="A8" s="328"/>
      <c r="B8" s="328"/>
      <c r="C8" s="313"/>
      <c r="D8" s="113" t="s">
        <v>5</v>
      </c>
      <c r="E8" s="123">
        <v>1</v>
      </c>
      <c r="F8" s="104">
        <v>1</v>
      </c>
      <c r="G8" s="104">
        <v>1</v>
      </c>
      <c r="H8" s="104">
        <v>1</v>
      </c>
      <c r="I8" s="104">
        <v>1</v>
      </c>
      <c r="J8" s="128">
        <v>1</v>
      </c>
      <c r="K8" s="123">
        <v>1</v>
      </c>
      <c r="L8" s="104">
        <v>1</v>
      </c>
      <c r="M8" s="128">
        <v>1</v>
      </c>
      <c r="N8" s="123">
        <v>1</v>
      </c>
      <c r="O8" s="104">
        <v>1</v>
      </c>
      <c r="P8" s="124">
        <v>1</v>
      </c>
      <c r="Q8" s="103"/>
      <c r="R8" s="123">
        <v>1</v>
      </c>
      <c r="S8" s="104">
        <v>1</v>
      </c>
      <c r="T8" s="104">
        <v>1</v>
      </c>
      <c r="U8" s="133">
        <v>1</v>
      </c>
    </row>
    <row r="9" spans="1:21" ht="13.5" thickBot="1" x14ac:dyDescent="0.25">
      <c r="A9" s="315"/>
      <c r="B9" s="315"/>
      <c r="C9" s="316"/>
      <c r="D9" s="114" t="s">
        <v>121</v>
      </c>
      <c r="E9" s="97" t="e">
        <f t="shared" ref="E9:P9" si="0">(E7*(IF(E8=1,0%,IF(E8=2,25%,IF(E8=3,50%,IF(E8=4,75%,IF(E8=5,100%)))))))+E7</f>
        <v>#N/A</v>
      </c>
      <c r="F9" s="98" t="e">
        <f t="shared" si="0"/>
        <v>#N/A</v>
      </c>
      <c r="G9" s="98" t="e">
        <f t="shared" si="0"/>
        <v>#N/A</v>
      </c>
      <c r="H9" s="98" t="e">
        <f t="shared" si="0"/>
        <v>#N/A</v>
      </c>
      <c r="I9" s="98" t="e">
        <f t="shared" si="0"/>
        <v>#N/A</v>
      </c>
      <c r="J9" s="102" t="e">
        <f t="shared" si="0"/>
        <v>#N/A</v>
      </c>
      <c r="K9" s="97" t="e">
        <f t="shared" si="0"/>
        <v>#N/A</v>
      </c>
      <c r="L9" s="98" t="e">
        <f t="shared" si="0"/>
        <v>#N/A</v>
      </c>
      <c r="M9" s="99" t="e">
        <f t="shared" si="0"/>
        <v>#N/A</v>
      </c>
      <c r="N9" s="86" t="e">
        <f t="shared" si="0"/>
        <v>#N/A</v>
      </c>
      <c r="O9" s="87" t="e">
        <f t="shared" si="0"/>
        <v>#N/A</v>
      </c>
      <c r="P9" s="85" t="e">
        <f t="shared" si="0"/>
        <v>#N/A</v>
      </c>
      <c r="Q9" s="103"/>
      <c r="R9" s="86">
        <f>(R7*(IF(R8=1,0%,IF(R8=2,25%,IF(R8=3,50%,IF(R8=4,75%,IF(R8=5,100%)))))))+R7</f>
        <v>0</v>
      </c>
      <c r="S9" s="98">
        <f>(S7*(IF(S8=1,0%,IF(S8=2,25%,IF(S8=3,50%,IF(S8=4,75%,IF(S8=5,100%)))))))+S7</f>
        <v>0</v>
      </c>
      <c r="T9" s="98">
        <f>(T7*(IF(T8=1,0%,IF(T8=2,25%,IF(T8=3,50%,IF(T8=4,75%,IF(T8=5,100%)))))))+T7</f>
        <v>0</v>
      </c>
      <c r="U9" s="99">
        <f>(U7*(IF(U8=1,0%,IF(U8=2,25%,IF(U8=3,50%,IF(U8=4,75%,IF(U8=5,100%)))))))+U7</f>
        <v>0</v>
      </c>
    </row>
    <row r="10" spans="1:21" ht="26.25" thickBot="1" x14ac:dyDescent="0.25">
      <c r="A10" s="308"/>
      <c r="B10" s="309"/>
      <c r="C10" s="310"/>
      <c r="D10" s="115" t="s">
        <v>122</v>
      </c>
      <c r="E10" s="299" t="e">
        <f>SUM(E9:J9)</f>
        <v>#N/A</v>
      </c>
      <c r="F10" s="300"/>
      <c r="G10" s="300"/>
      <c r="H10" s="300"/>
      <c r="I10" s="300"/>
      <c r="J10" s="301"/>
      <c r="K10" s="299" t="e">
        <f>SUM(K9:M9)</f>
        <v>#N/A</v>
      </c>
      <c r="L10" s="300"/>
      <c r="M10" s="301"/>
      <c r="N10" s="302" t="e">
        <f>SUM(N9:P9)</f>
        <v>#N/A</v>
      </c>
      <c r="O10" s="303"/>
      <c r="P10" s="304"/>
      <c r="Q10" s="103"/>
      <c r="R10" s="299">
        <f>SUM(R9:U9)</f>
        <v>0</v>
      </c>
      <c r="S10" s="300"/>
      <c r="T10" s="300"/>
      <c r="U10" s="301"/>
    </row>
    <row r="11" spans="1:21" ht="13.5" thickBot="1" x14ac:dyDescent="0.25">
      <c r="A11" s="311"/>
      <c r="B11" s="312"/>
      <c r="C11" s="313"/>
      <c r="D11" s="91"/>
      <c r="E11" s="92"/>
      <c r="F11" s="92"/>
      <c r="G11" s="92"/>
      <c r="H11" s="92"/>
      <c r="I11" s="92"/>
      <c r="J11" s="92"/>
      <c r="K11" s="92"/>
      <c r="L11" s="92"/>
      <c r="M11" s="92"/>
      <c r="N11" s="92"/>
      <c r="O11" s="92"/>
      <c r="P11" s="92"/>
      <c r="Q11" s="103"/>
      <c r="R11" s="92"/>
      <c r="S11" s="92"/>
      <c r="T11" s="92"/>
      <c r="U11" s="92"/>
    </row>
    <row r="12" spans="1:21" ht="13.5" thickBot="1" x14ac:dyDescent="0.25">
      <c r="A12" s="314"/>
      <c r="B12" s="315"/>
      <c r="C12" s="316"/>
      <c r="D12" s="116" t="s">
        <v>123</v>
      </c>
      <c r="E12" s="326" t="e">
        <f>SUM(E10:P10)+R10</f>
        <v>#N/A</v>
      </c>
      <c r="F12" s="327"/>
      <c r="G12" s="103"/>
      <c r="H12" s="103"/>
      <c r="I12" s="103"/>
      <c r="J12" s="103"/>
      <c r="K12" s="103"/>
      <c r="L12" s="103"/>
      <c r="M12" s="103"/>
      <c r="N12" s="103"/>
      <c r="O12" s="103"/>
      <c r="P12" s="103"/>
      <c r="Q12" s="103"/>
      <c r="R12" s="103"/>
      <c r="S12" s="103"/>
      <c r="T12" s="103"/>
      <c r="U12" s="103"/>
    </row>
    <row r="14" spans="1:21" ht="13.5" thickBot="1" x14ac:dyDescent="0.25"/>
    <row r="15" spans="1:21" ht="26.25" thickBot="1" x14ac:dyDescent="0.25">
      <c r="A15" s="305"/>
      <c r="B15" s="306"/>
      <c r="C15" s="307"/>
      <c r="D15" s="122" t="s">
        <v>103</v>
      </c>
      <c r="E15" s="329" t="s">
        <v>104</v>
      </c>
      <c r="F15" s="330"/>
      <c r="G15" s="330"/>
      <c r="H15" s="330"/>
      <c r="I15" s="330"/>
      <c r="J15" s="331"/>
      <c r="K15" s="329" t="s">
        <v>105</v>
      </c>
      <c r="L15" s="330"/>
      <c r="M15" s="331"/>
      <c r="N15" s="329" t="s">
        <v>106</v>
      </c>
      <c r="O15" s="330"/>
      <c r="P15" s="331"/>
      <c r="Q15" s="108"/>
      <c r="R15" s="329" t="s">
        <v>102</v>
      </c>
      <c r="S15" s="330"/>
      <c r="T15" s="330"/>
      <c r="U15" s="331"/>
    </row>
    <row r="16" spans="1:21" ht="13.5" thickBot="1" x14ac:dyDescent="0.25">
      <c r="A16" s="275" t="s">
        <v>82</v>
      </c>
      <c r="B16" s="276"/>
      <c r="C16" s="277"/>
      <c r="D16" s="135">
        <f>Programacion!$F$8/0.4*0.2</f>
        <v>0</v>
      </c>
      <c r="E16" s="112" t="s">
        <v>107</v>
      </c>
      <c r="F16" s="110" t="s">
        <v>108</v>
      </c>
      <c r="G16" s="110" t="s">
        <v>109</v>
      </c>
      <c r="H16" s="110" t="s">
        <v>110</v>
      </c>
      <c r="I16" s="110" t="s">
        <v>111</v>
      </c>
      <c r="J16" s="111" t="s">
        <v>112</v>
      </c>
      <c r="K16" s="109" t="s">
        <v>110</v>
      </c>
      <c r="L16" s="110" t="s">
        <v>113</v>
      </c>
      <c r="M16" s="111" t="s">
        <v>114</v>
      </c>
      <c r="N16" s="109" t="s">
        <v>110</v>
      </c>
      <c r="O16" s="112" t="s">
        <v>113</v>
      </c>
      <c r="P16" s="111" t="s">
        <v>114</v>
      </c>
      <c r="Q16" s="103"/>
      <c r="R16" s="117" t="s">
        <v>108</v>
      </c>
      <c r="S16" s="118" t="s">
        <v>115</v>
      </c>
      <c r="T16" s="118" t="s">
        <v>116</v>
      </c>
      <c r="U16" s="119" t="s">
        <v>117</v>
      </c>
    </row>
    <row r="17" spans="1:21" ht="13.5" thickBot="1" x14ac:dyDescent="0.25">
      <c r="A17" s="309">
        <f>Programacion!D8</f>
        <v>0</v>
      </c>
      <c r="B17" s="309"/>
      <c r="C17" s="310"/>
      <c r="D17" s="120" t="s">
        <v>118</v>
      </c>
      <c r="E17" s="289">
        <f>D16/2</f>
        <v>0</v>
      </c>
      <c r="F17" s="290"/>
      <c r="G17" s="290"/>
      <c r="H17" s="290"/>
      <c r="I17" s="290"/>
      <c r="J17" s="291"/>
      <c r="K17" s="289">
        <f>D16*30%</f>
        <v>0</v>
      </c>
      <c r="L17" s="290"/>
      <c r="M17" s="292"/>
      <c r="N17" s="293">
        <f>D16*20%</f>
        <v>0</v>
      </c>
      <c r="O17" s="294"/>
      <c r="P17" s="295"/>
      <c r="Q17" s="103"/>
      <c r="R17" s="296">
        <v>0</v>
      </c>
      <c r="S17" s="297"/>
      <c r="T17" s="297"/>
      <c r="U17" s="298"/>
    </row>
    <row r="18" spans="1:21" x14ac:dyDescent="0.2">
      <c r="A18" s="328"/>
      <c r="B18" s="328"/>
      <c r="C18" s="313"/>
      <c r="D18" s="113" t="s">
        <v>119</v>
      </c>
      <c r="E18" s="78">
        <v>0.05</v>
      </c>
      <c r="F18" s="79">
        <v>0.3</v>
      </c>
      <c r="G18" s="79">
        <v>0.2</v>
      </c>
      <c r="H18" s="79">
        <v>0.15</v>
      </c>
      <c r="I18" s="79">
        <v>0.1</v>
      </c>
      <c r="J18" s="100">
        <v>0.2</v>
      </c>
      <c r="K18" s="78">
        <v>0.1</v>
      </c>
      <c r="L18" s="79">
        <v>0.7</v>
      </c>
      <c r="M18" s="80">
        <v>0.2</v>
      </c>
      <c r="N18" s="78">
        <v>0.1</v>
      </c>
      <c r="O18" s="81">
        <v>0.7</v>
      </c>
      <c r="P18" s="80">
        <v>0.2</v>
      </c>
      <c r="Q18" s="103"/>
      <c r="R18" s="105">
        <v>0.15</v>
      </c>
      <c r="S18" s="106">
        <v>0.55000000000000004</v>
      </c>
      <c r="T18" s="106">
        <v>0.15</v>
      </c>
      <c r="U18" s="107">
        <v>0.15</v>
      </c>
    </row>
    <row r="19" spans="1:21" x14ac:dyDescent="0.2">
      <c r="A19" s="328"/>
      <c r="B19" s="328"/>
      <c r="C19" s="313"/>
      <c r="D19" s="113" t="s">
        <v>120</v>
      </c>
      <c r="E19" s="88">
        <f>E17*E18</f>
        <v>0</v>
      </c>
      <c r="F19" s="89">
        <f>E17*F18</f>
        <v>0</v>
      </c>
      <c r="G19" s="89">
        <f>E17*G18</f>
        <v>0</v>
      </c>
      <c r="H19" s="89">
        <f>E17*H18</f>
        <v>0</v>
      </c>
      <c r="I19" s="89">
        <f>E17*I18</f>
        <v>0</v>
      </c>
      <c r="J19" s="101">
        <f>E17*J18</f>
        <v>0</v>
      </c>
      <c r="K19" s="88">
        <f>K18*K17</f>
        <v>0</v>
      </c>
      <c r="L19" s="89">
        <f>K17*L18</f>
        <v>0</v>
      </c>
      <c r="M19" s="90">
        <f>K17*M18</f>
        <v>0</v>
      </c>
      <c r="N19" s="82">
        <f>N17*N18</f>
        <v>0</v>
      </c>
      <c r="O19" s="84">
        <f>N17*O18</f>
        <v>0</v>
      </c>
      <c r="P19" s="83">
        <f>N17*P18</f>
        <v>0</v>
      </c>
      <c r="Q19" s="103"/>
      <c r="R19" s="88">
        <f>R17*R18</f>
        <v>0</v>
      </c>
      <c r="S19" s="89">
        <v>0</v>
      </c>
      <c r="T19" s="89">
        <f>R17*T18</f>
        <v>0</v>
      </c>
      <c r="U19" s="90">
        <f>R17*U18</f>
        <v>0</v>
      </c>
    </row>
    <row r="20" spans="1:21" x14ac:dyDescent="0.2">
      <c r="A20" s="328"/>
      <c r="B20" s="328"/>
      <c r="C20" s="313"/>
      <c r="D20" s="113" t="s">
        <v>5</v>
      </c>
      <c r="E20" s="123">
        <v>1</v>
      </c>
      <c r="F20" s="104">
        <v>1</v>
      </c>
      <c r="G20" s="104">
        <v>1</v>
      </c>
      <c r="H20" s="104">
        <v>1</v>
      </c>
      <c r="I20" s="104">
        <v>1</v>
      </c>
      <c r="J20" s="128">
        <v>1</v>
      </c>
      <c r="K20" s="123">
        <v>1</v>
      </c>
      <c r="L20" s="104">
        <v>1</v>
      </c>
      <c r="M20" s="128">
        <v>1</v>
      </c>
      <c r="N20" s="123">
        <v>1</v>
      </c>
      <c r="O20" s="104">
        <v>1</v>
      </c>
      <c r="P20" s="124">
        <v>1</v>
      </c>
      <c r="Q20" s="103"/>
      <c r="R20" s="123">
        <v>1</v>
      </c>
      <c r="S20" s="104">
        <v>1</v>
      </c>
      <c r="T20" s="104">
        <v>1</v>
      </c>
      <c r="U20" s="124">
        <v>1</v>
      </c>
    </row>
    <row r="21" spans="1:21" ht="13.5" thickBot="1" x14ac:dyDescent="0.25">
      <c r="A21" s="315"/>
      <c r="B21" s="315"/>
      <c r="C21" s="316"/>
      <c r="D21" s="114" t="s">
        <v>121</v>
      </c>
      <c r="E21" s="97">
        <f t="shared" ref="E21:P21" si="1">(E19*(IF(E20=1,0%,IF(E20=2,25%,IF(E20=3,50%,IF(E20=4,75%,IF(E20=5,100%)))))))+E19</f>
        <v>0</v>
      </c>
      <c r="F21" s="98">
        <f t="shared" si="1"/>
        <v>0</v>
      </c>
      <c r="G21" s="98">
        <f t="shared" si="1"/>
        <v>0</v>
      </c>
      <c r="H21" s="98">
        <f t="shared" si="1"/>
        <v>0</v>
      </c>
      <c r="I21" s="98">
        <f t="shared" si="1"/>
        <v>0</v>
      </c>
      <c r="J21" s="102">
        <f t="shared" si="1"/>
        <v>0</v>
      </c>
      <c r="K21" s="97">
        <f t="shared" si="1"/>
        <v>0</v>
      </c>
      <c r="L21" s="98">
        <f t="shared" si="1"/>
        <v>0</v>
      </c>
      <c r="M21" s="99">
        <f t="shared" si="1"/>
        <v>0</v>
      </c>
      <c r="N21" s="86">
        <f t="shared" si="1"/>
        <v>0</v>
      </c>
      <c r="O21" s="87">
        <f t="shared" si="1"/>
        <v>0</v>
      </c>
      <c r="P21" s="85">
        <f t="shared" si="1"/>
        <v>0</v>
      </c>
      <c r="Q21" s="103"/>
      <c r="R21" s="86">
        <f t="shared" ref="R21:U21" si="2">(R19*(IF(R20=1,0%,IF(R20=2,25%,IF(R20=3,50%,IF(R20=4,75%,IF(R20=5,100%)))))))+R19</f>
        <v>0</v>
      </c>
      <c r="S21" s="87">
        <f t="shared" si="2"/>
        <v>0</v>
      </c>
      <c r="T21" s="87">
        <f t="shared" si="2"/>
        <v>0</v>
      </c>
      <c r="U21" s="85">
        <f t="shared" si="2"/>
        <v>0</v>
      </c>
    </row>
    <row r="22" spans="1:21" ht="26.25" thickBot="1" x14ac:dyDescent="0.25">
      <c r="A22" s="308"/>
      <c r="B22" s="309"/>
      <c r="C22" s="310"/>
      <c r="D22" s="115" t="s">
        <v>122</v>
      </c>
      <c r="E22" s="299">
        <f>SUM(E21:J21)</f>
        <v>0</v>
      </c>
      <c r="F22" s="300"/>
      <c r="G22" s="300"/>
      <c r="H22" s="300"/>
      <c r="I22" s="300"/>
      <c r="J22" s="301"/>
      <c r="K22" s="302">
        <f>SUM(K21:M21)</f>
        <v>0</v>
      </c>
      <c r="L22" s="303"/>
      <c r="M22" s="304"/>
      <c r="N22" s="302">
        <f>SUM(N21:P21)</f>
        <v>0</v>
      </c>
      <c r="O22" s="303"/>
      <c r="P22" s="304"/>
      <c r="Q22" s="103"/>
      <c r="R22" s="302">
        <f>SUM(R21:U21)</f>
        <v>0</v>
      </c>
      <c r="S22" s="303"/>
      <c r="T22" s="303"/>
      <c r="U22" s="304"/>
    </row>
    <row r="23" spans="1:21" ht="13.5" thickBot="1" x14ac:dyDescent="0.25">
      <c r="A23" s="311"/>
      <c r="B23" s="312"/>
      <c r="C23" s="313"/>
      <c r="D23" s="91"/>
      <c r="E23" s="92"/>
      <c r="F23" s="92"/>
      <c r="G23" s="92"/>
      <c r="H23" s="92"/>
      <c r="I23" s="92"/>
      <c r="J23" s="92"/>
      <c r="K23" s="92"/>
      <c r="L23" s="92"/>
      <c r="M23" s="92"/>
      <c r="N23" s="92"/>
      <c r="O23" s="92"/>
      <c r="P23" s="92"/>
      <c r="Q23" s="103"/>
      <c r="R23" s="92"/>
      <c r="S23" s="92"/>
      <c r="T23" s="92"/>
      <c r="U23" s="92"/>
    </row>
    <row r="24" spans="1:21" ht="13.5" thickBot="1" x14ac:dyDescent="0.25">
      <c r="A24" s="314"/>
      <c r="B24" s="315"/>
      <c r="C24" s="316"/>
      <c r="D24" s="116" t="s">
        <v>123</v>
      </c>
      <c r="E24" s="326">
        <f>SUM(E22:P22)+R22</f>
        <v>0</v>
      </c>
      <c r="F24" s="327"/>
      <c r="G24" s="103"/>
      <c r="H24" s="103"/>
      <c r="I24" s="103"/>
      <c r="J24" s="103"/>
      <c r="K24" s="103"/>
      <c r="L24" s="103"/>
      <c r="M24" s="103"/>
      <c r="N24" s="103"/>
      <c r="O24" s="103"/>
      <c r="P24" s="103"/>
      <c r="Q24" s="103"/>
      <c r="R24" s="103"/>
      <c r="S24" s="103"/>
      <c r="T24" s="103"/>
      <c r="U24" s="103"/>
    </row>
    <row r="26" spans="1:21" ht="13.5" thickBot="1" x14ac:dyDescent="0.25"/>
    <row r="27" spans="1:21" ht="26.25" thickBot="1" x14ac:dyDescent="0.25">
      <c r="A27" s="305"/>
      <c r="B27" s="306"/>
      <c r="C27" s="307"/>
      <c r="D27" s="122" t="s">
        <v>103</v>
      </c>
      <c r="E27" s="329" t="s">
        <v>104</v>
      </c>
      <c r="F27" s="330"/>
      <c r="G27" s="330"/>
      <c r="H27" s="330"/>
      <c r="I27" s="330"/>
      <c r="J27" s="331"/>
      <c r="K27" s="329" t="s">
        <v>105</v>
      </c>
      <c r="L27" s="330"/>
      <c r="M27" s="331"/>
      <c r="N27" s="329" t="s">
        <v>106</v>
      </c>
      <c r="O27" s="330"/>
      <c r="P27" s="331"/>
      <c r="Q27" s="108"/>
      <c r="R27" s="329" t="s">
        <v>102</v>
      </c>
      <c r="S27" s="330"/>
      <c r="T27" s="330"/>
      <c r="U27" s="331"/>
    </row>
    <row r="28" spans="1:21" ht="13.5" thickBot="1" x14ac:dyDescent="0.25">
      <c r="A28" s="275" t="s">
        <v>82</v>
      </c>
      <c r="B28" s="276"/>
      <c r="C28" s="277"/>
      <c r="D28" s="132">
        <f>Programacion!$F$9/0.4*0.2</f>
        <v>0</v>
      </c>
      <c r="E28" s="112" t="s">
        <v>107</v>
      </c>
      <c r="F28" s="110" t="s">
        <v>108</v>
      </c>
      <c r="G28" s="110" t="s">
        <v>109</v>
      </c>
      <c r="H28" s="110" t="s">
        <v>110</v>
      </c>
      <c r="I28" s="110" t="s">
        <v>111</v>
      </c>
      <c r="J28" s="111" t="s">
        <v>112</v>
      </c>
      <c r="K28" s="109" t="s">
        <v>110</v>
      </c>
      <c r="L28" s="110" t="s">
        <v>113</v>
      </c>
      <c r="M28" s="111" t="s">
        <v>114</v>
      </c>
      <c r="N28" s="109" t="s">
        <v>110</v>
      </c>
      <c r="O28" s="112" t="s">
        <v>113</v>
      </c>
      <c r="P28" s="111" t="s">
        <v>114</v>
      </c>
      <c r="Q28" s="103"/>
      <c r="R28" s="117" t="s">
        <v>108</v>
      </c>
      <c r="S28" s="118" t="s">
        <v>115</v>
      </c>
      <c r="T28" s="118" t="s">
        <v>116</v>
      </c>
      <c r="U28" s="119" t="s">
        <v>117</v>
      </c>
    </row>
    <row r="29" spans="1:21" ht="13.5" thickBot="1" x14ac:dyDescent="0.25">
      <c r="A29" s="309">
        <f>Programacion!D9</f>
        <v>0</v>
      </c>
      <c r="B29" s="309"/>
      <c r="C29" s="310"/>
      <c r="D29" s="120" t="s">
        <v>118</v>
      </c>
      <c r="E29" s="289">
        <f>D28/2</f>
        <v>0</v>
      </c>
      <c r="F29" s="290"/>
      <c r="G29" s="290"/>
      <c r="H29" s="290"/>
      <c r="I29" s="290"/>
      <c r="J29" s="291"/>
      <c r="K29" s="289">
        <f>D28*30%</f>
        <v>0</v>
      </c>
      <c r="L29" s="290"/>
      <c r="M29" s="292"/>
      <c r="N29" s="293">
        <f>D28*20%</f>
        <v>0</v>
      </c>
      <c r="O29" s="294"/>
      <c r="P29" s="295"/>
      <c r="Q29" s="103"/>
      <c r="R29" s="296">
        <v>0</v>
      </c>
      <c r="S29" s="297"/>
      <c r="T29" s="297"/>
      <c r="U29" s="298"/>
    </row>
    <row r="30" spans="1:21" x14ac:dyDescent="0.2">
      <c r="A30" s="328"/>
      <c r="B30" s="328"/>
      <c r="C30" s="313"/>
      <c r="D30" s="113" t="s">
        <v>119</v>
      </c>
      <c r="E30" s="78">
        <v>0.05</v>
      </c>
      <c r="F30" s="79">
        <v>0.3</v>
      </c>
      <c r="G30" s="79">
        <v>0.2</v>
      </c>
      <c r="H30" s="79">
        <v>0.15</v>
      </c>
      <c r="I30" s="79">
        <v>0.1</v>
      </c>
      <c r="J30" s="100">
        <v>0.2</v>
      </c>
      <c r="K30" s="78">
        <v>0.1</v>
      </c>
      <c r="L30" s="79">
        <v>0.7</v>
      </c>
      <c r="M30" s="80">
        <v>0.2</v>
      </c>
      <c r="N30" s="78">
        <v>0.1</v>
      </c>
      <c r="O30" s="81">
        <v>0.7</v>
      </c>
      <c r="P30" s="80">
        <v>0.2</v>
      </c>
      <c r="Q30" s="103"/>
      <c r="R30" s="105">
        <v>0.15</v>
      </c>
      <c r="S30" s="106">
        <v>0.55000000000000004</v>
      </c>
      <c r="T30" s="106">
        <v>0.15</v>
      </c>
      <c r="U30" s="107">
        <v>0.15</v>
      </c>
    </row>
    <row r="31" spans="1:21" x14ac:dyDescent="0.2">
      <c r="A31" s="328"/>
      <c r="B31" s="328"/>
      <c r="C31" s="313"/>
      <c r="D31" s="113" t="s">
        <v>120</v>
      </c>
      <c r="E31" s="88">
        <f>E29*E30</f>
        <v>0</v>
      </c>
      <c r="F31" s="89">
        <f>E29*F30</f>
        <v>0</v>
      </c>
      <c r="G31" s="89">
        <f>E29*G30</f>
        <v>0</v>
      </c>
      <c r="H31" s="89">
        <f>E29*H30</f>
        <v>0</v>
      </c>
      <c r="I31" s="89">
        <f>E29*I30</f>
        <v>0</v>
      </c>
      <c r="J31" s="101">
        <f>E29*J30</f>
        <v>0</v>
      </c>
      <c r="K31" s="88">
        <f>K30*K29</f>
        <v>0</v>
      </c>
      <c r="L31" s="89">
        <f>K29*L30</f>
        <v>0</v>
      </c>
      <c r="M31" s="90">
        <f>K29*M30</f>
        <v>0</v>
      </c>
      <c r="N31" s="82">
        <f>N29*N30</f>
        <v>0</v>
      </c>
      <c r="O31" s="84">
        <f>N29*O30</f>
        <v>0</v>
      </c>
      <c r="P31" s="83">
        <f>N29*P30</f>
        <v>0</v>
      </c>
      <c r="Q31" s="103"/>
      <c r="R31" s="88">
        <f>R29*R30</f>
        <v>0</v>
      </c>
      <c r="S31" s="89">
        <f>R29*S30</f>
        <v>0</v>
      </c>
      <c r="T31" s="89">
        <f>R29*T30</f>
        <v>0</v>
      </c>
      <c r="U31" s="90">
        <f>R29*U30</f>
        <v>0</v>
      </c>
    </row>
    <row r="32" spans="1:21" x14ac:dyDescent="0.2">
      <c r="A32" s="328"/>
      <c r="B32" s="328"/>
      <c r="C32" s="313"/>
      <c r="D32" s="113" t="s">
        <v>5</v>
      </c>
      <c r="E32" s="123">
        <v>1</v>
      </c>
      <c r="F32" s="104">
        <v>1</v>
      </c>
      <c r="G32" s="104">
        <v>1</v>
      </c>
      <c r="H32" s="104">
        <v>1</v>
      </c>
      <c r="I32" s="104">
        <v>1</v>
      </c>
      <c r="J32" s="128">
        <v>1</v>
      </c>
      <c r="K32" s="123">
        <v>1</v>
      </c>
      <c r="L32" s="104">
        <v>1</v>
      </c>
      <c r="M32" s="128">
        <v>1</v>
      </c>
      <c r="N32" s="123">
        <v>1</v>
      </c>
      <c r="O32" s="104">
        <v>1</v>
      </c>
      <c r="P32" s="124">
        <v>1</v>
      </c>
      <c r="Q32" s="103"/>
      <c r="R32" s="123">
        <v>5</v>
      </c>
      <c r="S32" s="104">
        <v>5</v>
      </c>
      <c r="T32" s="124">
        <v>5</v>
      </c>
      <c r="U32" s="124">
        <v>5</v>
      </c>
    </row>
    <row r="33" spans="1:21" ht="13.5" thickBot="1" x14ac:dyDescent="0.25">
      <c r="A33" s="315"/>
      <c r="B33" s="315"/>
      <c r="C33" s="316"/>
      <c r="D33" s="114" t="s">
        <v>121</v>
      </c>
      <c r="E33" s="97">
        <f t="shared" ref="E33:P33" si="3">(E31*(IF(E32=1,0%,IF(E32=2,25%,IF(E32=3,50%,IF(E32=4,75%,IF(E32=5,100%)))))))+E31</f>
        <v>0</v>
      </c>
      <c r="F33" s="98">
        <f t="shared" si="3"/>
        <v>0</v>
      </c>
      <c r="G33" s="98">
        <f t="shared" si="3"/>
        <v>0</v>
      </c>
      <c r="H33" s="98">
        <f t="shared" si="3"/>
        <v>0</v>
      </c>
      <c r="I33" s="98">
        <f t="shared" si="3"/>
        <v>0</v>
      </c>
      <c r="J33" s="102">
        <f t="shared" si="3"/>
        <v>0</v>
      </c>
      <c r="K33" s="97">
        <f t="shared" si="3"/>
        <v>0</v>
      </c>
      <c r="L33" s="98">
        <f t="shared" si="3"/>
        <v>0</v>
      </c>
      <c r="M33" s="99">
        <f t="shared" si="3"/>
        <v>0</v>
      </c>
      <c r="N33" s="86">
        <f t="shared" si="3"/>
        <v>0</v>
      </c>
      <c r="O33" s="87">
        <f t="shared" si="3"/>
        <v>0</v>
      </c>
      <c r="P33" s="85">
        <f t="shared" si="3"/>
        <v>0</v>
      </c>
      <c r="Q33" s="103"/>
      <c r="R33" s="85">
        <f>(R31*(IF(R32=1,0%,IF(R32=2,25%,IF(R32=3,50%,IF(R32=4,75%,IF(R32=5,100%)))))))+R31</f>
        <v>0</v>
      </c>
      <c r="S33" s="85">
        <f>(S31*(IF(S32=1,0%,IF(S32=2,25%,IF(S32=3,50%,IF(S32=4,75%,IF(S32=5,100%)))))))+S31</f>
        <v>0</v>
      </c>
      <c r="T33" s="85">
        <f>(T31*(IF(T32=1,0%,IF(T32=2,25%,IF(T32=3,50%,IF(T32=4,75%,IF(T32=5,100%)))))))+T31</f>
        <v>0</v>
      </c>
      <c r="U33" s="85">
        <f>(U31*(IF(U32=1,0%,IF(U32=2,25%,IF(U32=3,50%,IF(U32=4,75%,IF(U32=5,100%)))))))+U31</f>
        <v>0</v>
      </c>
    </row>
    <row r="34" spans="1:21" ht="26.25" thickBot="1" x14ac:dyDescent="0.25">
      <c r="A34" s="308"/>
      <c r="B34" s="309"/>
      <c r="C34" s="310"/>
      <c r="D34" s="115" t="s">
        <v>122</v>
      </c>
      <c r="E34" s="299">
        <f>SUM(E33:J33)</f>
        <v>0</v>
      </c>
      <c r="F34" s="300"/>
      <c r="G34" s="300"/>
      <c r="H34" s="300"/>
      <c r="I34" s="300"/>
      <c r="J34" s="301"/>
      <c r="K34" s="299">
        <f>SUM(K33:M33)</f>
        <v>0</v>
      </c>
      <c r="L34" s="300"/>
      <c r="M34" s="301"/>
      <c r="N34" s="302">
        <f>SUM(N33:P33)</f>
        <v>0</v>
      </c>
      <c r="O34" s="303"/>
      <c r="P34" s="304"/>
      <c r="Q34" s="103"/>
      <c r="R34" s="299">
        <f>SUM(R33:U33)</f>
        <v>0</v>
      </c>
      <c r="S34" s="300"/>
      <c r="T34" s="300"/>
      <c r="U34" s="301"/>
    </row>
    <row r="35" spans="1:21" ht="13.5" thickBot="1" x14ac:dyDescent="0.25">
      <c r="A35" s="311"/>
      <c r="B35" s="312"/>
      <c r="C35" s="313"/>
      <c r="D35" s="91"/>
      <c r="E35" s="92"/>
      <c r="F35" s="92"/>
      <c r="G35" s="92"/>
      <c r="H35" s="92"/>
      <c r="I35" s="92"/>
      <c r="J35" s="92"/>
      <c r="K35" s="92"/>
      <c r="L35" s="92"/>
      <c r="M35" s="92"/>
      <c r="N35" s="92"/>
      <c r="O35" s="92"/>
      <c r="P35" s="92"/>
      <c r="Q35" s="103"/>
      <c r="R35" s="92"/>
      <c r="S35" s="92"/>
      <c r="T35" s="92"/>
      <c r="U35" s="92"/>
    </row>
    <row r="36" spans="1:21" ht="13.5" thickBot="1" x14ac:dyDescent="0.25">
      <c r="A36" s="314"/>
      <c r="B36" s="315"/>
      <c r="C36" s="316"/>
      <c r="D36" s="116" t="s">
        <v>123</v>
      </c>
      <c r="E36" s="326">
        <f>SUM(E34:P34)+R34</f>
        <v>0</v>
      </c>
      <c r="F36" s="327"/>
      <c r="G36" s="103"/>
      <c r="H36" s="103"/>
      <c r="I36" s="103"/>
      <c r="J36" s="103"/>
      <c r="K36" s="103"/>
      <c r="L36" s="103"/>
      <c r="M36" s="103"/>
      <c r="N36" s="103"/>
      <c r="O36" s="103"/>
      <c r="P36" s="103"/>
      <c r="Q36" s="103"/>
      <c r="R36" s="103"/>
      <c r="S36" s="103"/>
      <c r="T36" s="103"/>
      <c r="U36" s="103"/>
    </row>
    <row r="38" spans="1:21" ht="14.25" customHeight="1" thickBot="1" x14ac:dyDescent="0.25"/>
    <row r="39" spans="1:21" ht="26.25" thickBot="1" x14ac:dyDescent="0.25">
      <c r="A39" s="305"/>
      <c r="B39" s="306"/>
      <c r="C39" s="307"/>
      <c r="D39" s="122" t="s">
        <v>103</v>
      </c>
      <c r="E39" s="271" t="s">
        <v>104</v>
      </c>
      <c r="F39" s="273"/>
      <c r="G39" s="273"/>
      <c r="H39" s="273"/>
      <c r="I39" s="273"/>
      <c r="J39" s="274"/>
      <c r="K39" s="261" t="s">
        <v>105</v>
      </c>
      <c r="L39" s="262"/>
      <c r="M39" s="263"/>
      <c r="N39" s="261" t="s">
        <v>106</v>
      </c>
      <c r="O39" s="262"/>
      <c r="P39" s="263"/>
      <c r="Q39" s="108"/>
      <c r="R39" s="271" t="s">
        <v>102</v>
      </c>
      <c r="S39" s="272"/>
      <c r="T39" s="273"/>
      <c r="U39" s="274"/>
    </row>
    <row r="40" spans="1:21" ht="13.5" thickBot="1" x14ac:dyDescent="0.25">
      <c r="A40" s="275" t="s">
        <v>82</v>
      </c>
      <c r="B40" s="276"/>
      <c r="C40" s="277"/>
      <c r="D40" s="121" t="e">
        <f>Programacion!#REF!/0.4*0.2</f>
        <v>#REF!</v>
      </c>
      <c r="E40" s="112" t="s">
        <v>107</v>
      </c>
      <c r="F40" s="110" t="s">
        <v>108</v>
      </c>
      <c r="G40" s="110" t="s">
        <v>109</v>
      </c>
      <c r="H40" s="110" t="s">
        <v>110</v>
      </c>
      <c r="I40" s="110" t="s">
        <v>111</v>
      </c>
      <c r="J40" s="111" t="s">
        <v>112</v>
      </c>
      <c r="K40" s="109" t="s">
        <v>110</v>
      </c>
      <c r="L40" s="110" t="s">
        <v>113</v>
      </c>
      <c r="M40" s="111" t="s">
        <v>114</v>
      </c>
      <c r="N40" s="109" t="s">
        <v>110</v>
      </c>
      <c r="O40" s="112" t="s">
        <v>113</v>
      </c>
      <c r="P40" s="111" t="s">
        <v>114</v>
      </c>
      <c r="Q40" s="103"/>
      <c r="R40" s="117" t="s">
        <v>108</v>
      </c>
      <c r="S40" s="118" t="s">
        <v>115</v>
      </c>
      <c r="T40" s="118" t="s">
        <v>116</v>
      </c>
      <c r="U40" s="119" t="s">
        <v>117</v>
      </c>
    </row>
    <row r="41" spans="1:21" ht="13.5" thickBot="1" x14ac:dyDescent="0.25">
      <c r="A41" s="309" t="e">
        <f>Programacion!#REF!</f>
        <v>#REF!</v>
      </c>
      <c r="B41" s="309"/>
      <c r="C41" s="310"/>
      <c r="D41" s="120" t="s">
        <v>118</v>
      </c>
      <c r="E41" s="289" t="e">
        <f>D40/2</f>
        <v>#REF!</v>
      </c>
      <c r="F41" s="290"/>
      <c r="G41" s="290"/>
      <c r="H41" s="290"/>
      <c r="I41" s="290"/>
      <c r="J41" s="291"/>
      <c r="K41" s="289" t="e">
        <f>D40*30%</f>
        <v>#REF!</v>
      </c>
      <c r="L41" s="290"/>
      <c r="M41" s="292"/>
      <c r="N41" s="293" t="e">
        <f>D40*20%</f>
        <v>#REF!</v>
      </c>
      <c r="O41" s="294"/>
      <c r="P41" s="295"/>
      <c r="Q41" s="103"/>
      <c r="R41" s="296">
        <v>0</v>
      </c>
      <c r="S41" s="297"/>
      <c r="T41" s="297"/>
      <c r="U41" s="298"/>
    </row>
    <row r="42" spans="1:21" x14ac:dyDescent="0.2">
      <c r="A42" s="328"/>
      <c r="B42" s="328"/>
      <c r="C42" s="313"/>
      <c r="D42" s="113" t="s">
        <v>119</v>
      </c>
      <c r="E42" s="78">
        <v>0.05</v>
      </c>
      <c r="F42" s="79">
        <v>0.3</v>
      </c>
      <c r="G42" s="79">
        <v>0.2</v>
      </c>
      <c r="H42" s="79">
        <v>0.15</v>
      </c>
      <c r="I42" s="79">
        <v>0.1</v>
      </c>
      <c r="J42" s="100">
        <v>0.2</v>
      </c>
      <c r="K42" s="78">
        <v>0.1</v>
      </c>
      <c r="L42" s="79">
        <v>0.7</v>
      </c>
      <c r="M42" s="80">
        <v>0.2</v>
      </c>
      <c r="N42" s="78">
        <v>0.1</v>
      </c>
      <c r="O42" s="81">
        <v>0.7</v>
      </c>
      <c r="P42" s="80">
        <v>0.2</v>
      </c>
      <c r="Q42" s="103"/>
      <c r="R42" s="105">
        <v>0.15</v>
      </c>
      <c r="S42" s="106">
        <v>0.55000000000000004</v>
      </c>
      <c r="T42" s="106">
        <v>0.15</v>
      </c>
      <c r="U42" s="107">
        <v>0.15</v>
      </c>
    </row>
    <row r="43" spans="1:21" x14ac:dyDescent="0.2">
      <c r="A43" s="328"/>
      <c r="B43" s="328"/>
      <c r="C43" s="313"/>
      <c r="D43" s="113" t="s">
        <v>120</v>
      </c>
      <c r="E43" s="88" t="e">
        <f>E41*E42</f>
        <v>#REF!</v>
      </c>
      <c r="F43" s="89" t="e">
        <f>E41*F42</f>
        <v>#REF!</v>
      </c>
      <c r="G43" s="89" t="e">
        <f>E41*G42</f>
        <v>#REF!</v>
      </c>
      <c r="H43" s="89" t="e">
        <f>E41*H42</f>
        <v>#REF!</v>
      </c>
      <c r="I43" s="89" t="e">
        <f>E41*I42</f>
        <v>#REF!</v>
      </c>
      <c r="J43" s="101" t="e">
        <f>E41*J42</f>
        <v>#REF!</v>
      </c>
      <c r="K43" s="88" t="e">
        <f>K42*K41</f>
        <v>#REF!</v>
      </c>
      <c r="L43" s="89" t="e">
        <f>K41*L42</f>
        <v>#REF!</v>
      </c>
      <c r="M43" s="90" t="e">
        <f>K41*M42</f>
        <v>#REF!</v>
      </c>
      <c r="N43" s="82" t="e">
        <f>N41*N42</f>
        <v>#REF!</v>
      </c>
      <c r="O43" s="84" t="e">
        <f>N41*O42</f>
        <v>#REF!</v>
      </c>
      <c r="P43" s="83" t="e">
        <f>N41*P42</f>
        <v>#REF!</v>
      </c>
      <c r="Q43" s="103"/>
      <c r="R43" s="88">
        <f>R41*R42</f>
        <v>0</v>
      </c>
      <c r="S43" s="89">
        <f>R41*S42</f>
        <v>0</v>
      </c>
      <c r="T43" s="89">
        <f>R41*T42</f>
        <v>0</v>
      </c>
      <c r="U43" s="90">
        <f>R41*U42</f>
        <v>0</v>
      </c>
    </row>
    <row r="44" spans="1:21" x14ac:dyDescent="0.2">
      <c r="A44" s="328"/>
      <c r="B44" s="328"/>
      <c r="C44" s="313"/>
      <c r="D44" s="113" t="s">
        <v>5</v>
      </c>
      <c r="E44" s="123">
        <v>1</v>
      </c>
      <c r="F44" s="104">
        <v>1</v>
      </c>
      <c r="G44" s="104">
        <v>1</v>
      </c>
      <c r="H44" s="104">
        <v>1</v>
      </c>
      <c r="I44" s="104">
        <v>1</v>
      </c>
      <c r="J44" s="128">
        <v>1</v>
      </c>
      <c r="K44" s="123">
        <v>1</v>
      </c>
      <c r="L44" s="104">
        <v>1</v>
      </c>
      <c r="M44" s="128">
        <v>1</v>
      </c>
      <c r="N44" s="123">
        <v>1</v>
      </c>
      <c r="O44" s="104">
        <v>1</v>
      </c>
      <c r="P44" s="124">
        <v>1</v>
      </c>
      <c r="Q44" s="103"/>
      <c r="R44" s="123">
        <v>1</v>
      </c>
      <c r="S44" s="104">
        <v>1</v>
      </c>
      <c r="T44" s="104">
        <v>1</v>
      </c>
      <c r="U44" s="124">
        <v>1</v>
      </c>
    </row>
    <row r="45" spans="1:21" ht="13.5" thickBot="1" x14ac:dyDescent="0.25">
      <c r="A45" s="315"/>
      <c r="B45" s="315"/>
      <c r="C45" s="316"/>
      <c r="D45" s="114" t="s">
        <v>121</v>
      </c>
      <c r="E45" s="97" t="e">
        <f t="shared" ref="E45:P45" si="4">(E43*(IF(E44=1,0%,IF(E44=2,25%,IF(E44=3,50%,IF(E44=4,75%,IF(E44=5,100%)))))))+E43</f>
        <v>#REF!</v>
      </c>
      <c r="F45" s="98" t="e">
        <f t="shared" si="4"/>
        <v>#REF!</v>
      </c>
      <c r="G45" s="98" t="e">
        <f t="shared" si="4"/>
        <v>#REF!</v>
      </c>
      <c r="H45" s="98" t="e">
        <f t="shared" si="4"/>
        <v>#REF!</v>
      </c>
      <c r="I45" s="98" t="e">
        <f t="shared" si="4"/>
        <v>#REF!</v>
      </c>
      <c r="J45" s="102" t="e">
        <f t="shared" si="4"/>
        <v>#REF!</v>
      </c>
      <c r="K45" s="97" t="e">
        <f t="shared" si="4"/>
        <v>#REF!</v>
      </c>
      <c r="L45" s="98" t="e">
        <f t="shared" si="4"/>
        <v>#REF!</v>
      </c>
      <c r="M45" s="99" t="e">
        <f t="shared" si="4"/>
        <v>#REF!</v>
      </c>
      <c r="N45" s="86" t="e">
        <f t="shared" si="4"/>
        <v>#REF!</v>
      </c>
      <c r="O45" s="87" t="e">
        <f t="shared" si="4"/>
        <v>#REF!</v>
      </c>
      <c r="P45" s="85" t="e">
        <f t="shared" si="4"/>
        <v>#REF!</v>
      </c>
      <c r="Q45" s="103"/>
      <c r="R45" s="86">
        <f t="shared" ref="R45:U45" si="5">(R43*(IF(R44=1,0%,IF(R44=2,25%,IF(R44=3,50%,IF(R44=4,75%,IF(R44=5,100%)))))))+R43</f>
        <v>0</v>
      </c>
      <c r="S45" s="87">
        <f t="shared" si="5"/>
        <v>0</v>
      </c>
      <c r="T45" s="87">
        <f t="shared" si="5"/>
        <v>0</v>
      </c>
      <c r="U45" s="85">
        <f t="shared" si="5"/>
        <v>0</v>
      </c>
    </row>
    <row r="46" spans="1:21" ht="26.25" thickBot="1" x14ac:dyDescent="0.25">
      <c r="A46" s="308"/>
      <c r="B46" s="309"/>
      <c r="C46" s="310"/>
      <c r="D46" s="115" t="s">
        <v>122</v>
      </c>
      <c r="E46" s="299" t="e">
        <f>SUM(E45:J45)</f>
        <v>#REF!</v>
      </c>
      <c r="F46" s="300"/>
      <c r="G46" s="300"/>
      <c r="H46" s="300"/>
      <c r="I46" s="300"/>
      <c r="J46" s="301"/>
      <c r="K46" s="299" t="e">
        <f>SUM(K45:M45)</f>
        <v>#REF!</v>
      </c>
      <c r="L46" s="300"/>
      <c r="M46" s="301"/>
      <c r="N46" s="302" t="e">
        <f>SUM(N45:P45)</f>
        <v>#REF!</v>
      </c>
      <c r="O46" s="303"/>
      <c r="P46" s="304"/>
      <c r="Q46" s="103"/>
      <c r="R46" s="299">
        <f>SUM(R45:U45)</f>
        <v>0</v>
      </c>
      <c r="S46" s="300"/>
      <c r="T46" s="300"/>
      <c r="U46" s="301"/>
    </row>
    <row r="47" spans="1:21" ht="13.5" thickBot="1" x14ac:dyDescent="0.25">
      <c r="A47" s="311"/>
      <c r="B47" s="312"/>
      <c r="C47" s="313"/>
      <c r="D47" s="91"/>
      <c r="E47" s="92"/>
      <c r="F47" s="92"/>
      <c r="G47" s="92"/>
      <c r="H47" s="92"/>
      <c r="I47" s="92"/>
      <c r="J47" s="92"/>
      <c r="K47" s="92"/>
      <c r="L47" s="92"/>
      <c r="M47" s="92"/>
      <c r="N47" s="92"/>
      <c r="O47" s="92"/>
      <c r="P47" s="92"/>
      <c r="Q47" s="103"/>
      <c r="R47" s="92"/>
      <c r="S47" s="92"/>
      <c r="T47" s="92"/>
      <c r="U47" s="92"/>
    </row>
    <row r="48" spans="1:21" ht="13.5" thickBot="1" x14ac:dyDescent="0.25">
      <c r="A48" s="314"/>
      <c r="B48" s="315"/>
      <c r="C48" s="316"/>
      <c r="D48" s="116" t="s">
        <v>123</v>
      </c>
      <c r="E48" s="326" t="e">
        <f>SUM(E46:P46)+R46</f>
        <v>#REF!</v>
      </c>
      <c r="F48" s="327"/>
      <c r="G48" s="103"/>
      <c r="H48" s="103"/>
      <c r="I48" s="103"/>
      <c r="J48" s="103"/>
      <c r="K48" s="103"/>
      <c r="L48" s="103"/>
      <c r="M48" s="103"/>
      <c r="N48" s="103"/>
      <c r="O48" s="103"/>
      <c r="P48" s="103"/>
      <c r="Q48" s="103"/>
      <c r="R48" s="103"/>
      <c r="S48" s="103"/>
      <c r="T48" s="103"/>
      <c r="U48" s="103"/>
    </row>
    <row r="50" spans="1:21" ht="13.5" thickBot="1" x14ac:dyDescent="0.25"/>
    <row r="51" spans="1:21" ht="26.25" thickBot="1" x14ac:dyDescent="0.25">
      <c r="A51" s="305"/>
      <c r="B51" s="306"/>
      <c r="C51" s="307"/>
      <c r="D51" s="122" t="s">
        <v>103</v>
      </c>
      <c r="E51" s="271" t="s">
        <v>104</v>
      </c>
      <c r="F51" s="273"/>
      <c r="G51" s="273"/>
      <c r="H51" s="273"/>
      <c r="I51" s="273"/>
      <c r="J51" s="274"/>
      <c r="K51" s="261" t="s">
        <v>105</v>
      </c>
      <c r="L51" s="262"/>
      <c r="M51" s="263"/>
      <c r="N51" s="261" t="s">
        <v>106</v>
      </c>
      <c r="O51" s="262"/>
      <c r="P51" s="263"/>
      <c r="Q51" s="108"/>
      <c r="R51" s="271" t="s">
        <v>102</v>
      </c>
      <c r="S51" s="272"/>
      <c r="T51" s="273"/>
      <c r="U51" s="274"/>
    </row>
    <row r="52" spans="1:21" ht="13.5" thickBot="1" x14ac:dyDescent="0.25">
      <c r="A52" s="275" t="s">
        <v>82</v>
      </c>
      <c r="B52" s="276"/>
      <c r="C52" s="277"/>
      <c r="D52" s="121" t="e">
        <f>Programacion!#REF!/0.4*0.2</f>
        <v>#REF!</v>
      </c>
      <c r="E52" s="112" t="s">
        <v>107</v>
      </c>
      <c r="F52" s="110" t="s">
        <v>108</v>
      </c>
      <c r="G52" s="110" t="s">
        <v>109</v>
      </c>
      <c r="H52" s="110" t="s">
        <v>110</v>
      </c>
      <c r="I52" s="110" t="s">
        <v>111</v>
      </c>
      <c r="J52" s="111" t="s">
        <v>112</v>
      </c>
      <c r="K52" s="109" t="s">
        <v>110</v>
      </c>
      <c r="L52" s="110" t="s">
        <v>113</v>
      </c>
      <c r="M52" s="111" t="s">
        <v>114</v>
      </c>
      <c r="N52" s="109" t="s">
        <v>110</v>
      </c>
      <c r="O52" s="112" t="s">
        <v>113</v>
      </c>
      <c r="P52" s="111" t="s">
        <v>114</v>
      </c>
      <c r="Q52" s="103"/>
      <c r="R52" s="117" t="s">
        <v>108</v>
      </c>
      <c r="S52" s="118" t="s">
        <v>115</v>
      </c>
      <c r="T52" s="118" t="s">
        <v>116</v>
      </c>
      <c r="U52" s="119" t="s">
        <v>117</v>
      </c>
    </row>
    <row r="53" spans="1:21" ht="13.5" thickBot="1" x14ac:dyDescent="0.25">
      <c r="A53" s="309" t="e">
        <f>Programacion!#REF!</f>
        <v>#REF!</v>
      </c>
      <c r="B53" s="309"/>
      <c r="C53" s="310"/>
      <c r="D53" s="120" t="s">
        <v>118</v>
      </c>
      <c r="E53" s="289" t="e">
        <f>D52/2</f>
        <v>#REF!</v>
      </c>
      <c r="F53" s="290"/>
      <c r="G53" s="290"/>
      <c r="H53" s="290"/>
      <c r="I53" s="290"/>
      <c r="J53" s="291"/>
      <c r="K53" s="289" t="e">
        <f>D52*30%</f>
        <v>#REF!</v>
      </c>
      <c r="L53" s="290"/>
      <c r="M53" s="292"/>
      <c r="N53" s="293" t="e">
        <f>D52*20%</f>
        <v>#REF!</v>
      </c>
      <c r="O53" s="294"/>
      <c r="P53" s="295"/>
      <c r="Q53" s="103"/>
      <c r="R53" s="296">
        <v>0</v>
      </c>
      <c r="S53" s="297"/>
      <c r="T53" s="297"/>
      <c r="U53" s="298"/>
    </row>
    <row r="54" spans="1:21" x14ac:dyDescent="0.2">
      <c r="A54" s="328"/>
      <c r="B54" s="328"/>
      <c r="C54" s="313"/>
      <c r="D54" s="113" t="s">
        <v>119</v>
      </c>
      <c r="E54" s="78">
        <v>0.05</v>
      </c>
      <c r="F54" s="79">
        <v>0.3</v>
      </c>
      <c r="G54" s="79">
        <v>0.2</v>
      </c>
      <c r="H54" s="79">
        <v>0.15</v>
      </c>
      <c r="I54" s="79">
        <v>0.1</v>
      </c>
      <c r="J54" s="100">
        <v>0.2</v>
      </c>
      <c r="K54" s="78">
        <v>0.1</v>
      </c>
      <c r="L54" s="79">
        <v>0.7</v>
      </c>
      <c r="M54" s="80">
        <v>0.2</v>
      </c>
      <c r="N54" s="78">
        <v>0.1</v>
      </c>
      <c r="O54" s="81">
        <v>0.7</v>
      </c>
      <c r="P54" s="80">
        <v>0.2</v>
      </c>
      <c r="Q54" s="103"/>
      <c r="R54" s="105">
        <v>0.15</v>
      </c>
      <c r="S54" s="106">
        <v>0.55000000000000004</v>
      </c>
      <c r="T54" s="106">
        <v>0.15</v>
      </c>
      <c r="U54" s="107">
        <v>0.15</v>
      </c>
    </row>
    <row r="55" spans="1:21" x14ac:dyDescent="0.2">
      <c r="A55" s="328"/>
      <c r="B55" s="328"/>
      <c r="C55" s="313"/>
      <c r="D55" s="113" t="s">
        <v>120</v>
      </c>
      <c r="E55" s="88" t="e">
        <f>E53*E54</f>
        <v>#REF!</v>
      </c>
      <c r="F55" s="89" t="e">
        <f>E53*F54</f>
        <v>#REF!</v>
      </c>
      <c r="G55" s="89" t="e">
        <f>E53*G54</f>
        <v>#REF!</v>
      </c>
      <c r="H55" s="89" t="e">
        <f>E53*H54</f>
        <v>#REF!</v>
      </c>
      <c r="I55" s="89" t="e">
        <f>E53*I54</f>
        <v>#REF!</v>
      </c>
      <c r="J55" s="101" t="e">
        <f>E53*J54</f>
        <v>#REF!</v>
      </c>
      <c r="K55" s="88" t="e">
        <f>K54*K53</f>
        <v>#REF!</v>
      </c>
      <c r="L55" s="89" t="e">
        <f>K53*L54</f>
        <v>#REF!</v>
      </c>
      <c r="M55" s="90" t="e">
        <f>K53*M54</f>
        <v>#REF!</v>
      </c>
      <c r="N55" s="82" t="e">
        <f>N53*N54</f>
        <v>#REF!</v>
      </c>
      <c r="O55" s="84" t="e">
        <f>N53*O54</f>
        <v>#REF!</v>
      </c>
      <c r="P55" s="83" t="e">
        <f>N53*P54</f>
        <v>#REF!</v>
      </c>
      <c r="Q55" s="103"/>
      <c r="R55" s="88">
        <f>R53*R54</f>
        <v>0</v>
      </c>
      <c r="S55" s="89">
        <f>R53*S54</f>
        <v>0</v>
      </c>
      <c r="T55" s="89">
        <f>R53*T54</f>
        <v>0</v>
      </c>
      <c r="U55" s="90">
        <f>R53*U54</f>
        <v>0</v>
      </c>
    </row>
    <row r="56" spans="1:21" x14ac:dyDescent="0.2">
      <c r="A56" s="328"/>
      <c r="B56" s="328"/>
      <c r="C56" s="313"/>
      <c r="D56" s="113" t="s">
        <v>5</v>
      </c>
      <c r="E56" s="123">
        <v>1</v>
      </c>
      <c r="F56" s="104">
        <v>1</v>
      </c>
      <c r="G56" s="104">
        <v>1</v>
      </c>
      <c r="H56" s="104">
        <v>1</v>
      </c>
      <c r="I56" s="104">
        <v>1</v>
      </c>
      <c r="J56" s="128">
        <v>1</v>
      </c>
      <c r="K56" s="123">
        <v>1</v>
      </c>
      <c r="L56" s="104">
        <v>1</v>
      </c>
      <c r="M56" s="128">
        <v>1</v>
      </c>
      <c r="N56" s="123">
        <v>1</v>
      </c>
      <c r="O56" s="104">
        <v>1</v>
      </c>
      <c r="P56" s="124">
        <v>1</v>
      </c>
      <c r="Q56" s="103"/>
      <c r="R56" s="123">
        <v>1</v>
      </c>
      <c r="S56" s="104">
        <v>1</v>
      </c>
      <c r="T56" s="104">
        <v>1</v>
      </c>
      <c r="U56" s="124">
        <v>1</v>
      </c>
    </row>
    <row r="57" spans="1:21" ht="13.5" thickBot="1" x14ac:dyDescent="0.25">
      <c r="A57" s="315"/>
      <c r="B57" s="315"/>
      <c r="C57" s="316"/>
      <c r="D57" s="114" t="s">
        <v>121</v>
      </c>
      <c r="E57" s="97" t="e">
        <f t="shared" ref="E57:P57" si="6">(E55*(IF(E56=1,0%,IF(E56=2,25%,IF(E56=3,50%,IF(E56=4,75%,IF(E56=5,100%)))))))+E55</f>
        <v>#REF!</v>
      </c>
      <c r="F57" s="98" t="e">
        <f t="shared" si="6"/>
        <v>#REF!</v>
      </c>
      <c r="G57" s="98" t="e">
        <f t="shared" si="6"/>
        <v>#REF!</v>
      </c>
      <c r="H57" s="98" t="e">
        <f t="shared" si="6"/>
        <v>#REF!</v>
      </c>
      <c r="I57" s="98" t="e">
        <f t="shared" si="6"/>
        <v>#REF!</v>
      </c>
      <c r="J57" s="102" t="e">
        <f t="shared" si="6"/>
        <v>#REF!</v>
      </c>
      <c r="K57" s="97" t="e">
        <f t="shared" si="6"/>
        <v>#REF!</v>
      </c>
      <c r="L57" s="98" t="e">
        <f t="shared" si="6"/>
        <v>#REF!</v>
      </c>
      <c r="M57" s="99" t="e">
        <f t="shared" si="6"/>
        <v>#REF!</v>
      </c>
      <c r="N57" s="86" t="e">
        <f t="shared" si="6"/>
        <v>#REF!</v>
      </c>
      <c r="O57" s="87" t="e">
        <f t="shared" si="6"/>
        <v>#REF!</v>
      </c>
      <c r="P57" s="85" t="e">
        <f t="shared" si="6"/>
        <v>#REF!</v>
      </c>
      <c r="Q57" s="103"/>
      <c r="R57" s="86">
        <f t="shared" ref="R57:U57" si="7">(R55*(IF(R56=1,0%,IF(R56=2,25%,IF(R56=3,50%,IF(R56=4,75%,IF(R56=5,100%)))))))+R55</f>
        <v>0</v>
      </c>
      <c r="S57" s="87">
        <f t="shared" si="7"/>
        <v>0</v>
      </c>
      <c r="T57" s="87">
        <f t="shared" si="7"/>
        <v>0</v>
      </c>
      <c r="U57" s="85">
        <f t="shared" si="7"/>
        <v>0</v>
      </c>
    </row>
    <row r="58" spans="1:21" ht="26.25" thickBot="1" x14ac:dyDescent="0.25">
      <c r="A58" s="308"/>
      <c r="B58" s="309"/>
      <c r="C58" s="310"/>
      <c r="D58" s="115" t="s">
        <v>122</v>
      </c>
      <c r="E58" s="299" t="e">
        <f>SUM(E57:J57)</f>
        <v>#REF!</v>
      </c>
      <c r="F58" s="300"/>
      <c r="G58" s="300"/>
      <c r="H58" s="300"/>
      <c r="I58" s="300"/>
      <c r="J58" s="301"/>
      <c r="K58" s="299" t="e">
        <f>SUM(K57:M57)</f>
        <v>#REF!</v>
      </c>
      <c r="L58" s="300"/>
      <c r="M58" s="301"/>
      <c r="N58" s="302" t="e">
        <f>SUM(N57:P57)</f>
        <v>#REF!</v>
      </c>
      <c r="O58" s="303"/>
      <c r="P58" s="304"/>
      <c r="Q58" s="103"/>
      <c r="R58" s="299">
        <f>SUM(R57:U57)</f>
        <v>0</v>
      </c>
      <c r="S58" s="300"/>
      <c r="T58" s="300"/>
      <c r="U58" s="301"/>
    </row>
    <row r="59" spans="1:21" ht="13.5" thickBot="1" x14ac:dyDescent="0.25">
      <c r="A59" s="311"/>
      <c r="B59" s="312"/>
      <c r="C59" s="313"/>
      <c r="D59" s="91"/>
      <c r="E59" s="92"/>
      <c r="F59" s="92"/>
      <c r="G59" s="92"/>
      <c r="H59" s="92"/>
      <c r="I59" s="92"/>
      <c r="J59" s="92"/>
      <c r="K59" s="92"/>
      <c r="L59" s="92"/>
      <c r="M59" s="92"/>
      <c r="N59" s="92"/>
      <c r="O59" s="92"/>
      <c r="P59" s="92"/>
      <c r="Q59" s="103"/>
      <c r="R59" s="92"/>
      <c r="S59" s="92"/>
      <c r="T59" s="92"/>
      <c r="U59" s="92"/>
    </row>
    <row r="60" spans="1:21" ht="13.5" thickBot="1" x14ac:dyDescent="0.25">
      <c r="A60" s="314"/>
      <c r="B60" s="315"/>
      <c r="C60" s="316"/>
      <c r="D60" s="116" t="s">
        <v>123</v>
      </c>
      <c r="E60" s="326" t="e">
        <f>SUM(E58:P58)+R58</f>
        <v>#REF!</v>
      </c>
      <c r="F60" s="327"/>
      <c r="G60" s="103"/>
      <c r="H60" s="103"/>
      <c r="I60" s="103"/>
      <c r="J60" s="103"/>
      <c r="K60" s="103"/>
      <c r="L60" s="103"/>
      <c r="M60" s="103"/>
      <c r="N60" s="103"/>
      <c r="O60" s="103"/>
      <c r="P60" s="103"/>
      <c r="Q60" s="103"/>
      <c r="R60" s="103"/>
      <c r="S60" s="103"/>
      <c r="T60" s="103"/>
      <c r="U60" s="103"/>
    </row>
    <row r="62" spans="1:21" ht="13.5" thickBot="1" x14ac:dyDescent="0.25"/>
    <row r="63" spans="1:21" ht="26.25" thickBot="1" x14ac:dyDescent="0.25">
      <c r="A63" s="305"/>
      <c r="B63" s="306"/>
      <c r="C63" s="307"/>
      <c r="D63" s="122" t="s">
        <v>103</v>
      </c>
      <c r="E63" s="271" t="s">
        <v>104</v>
      </c>
      <c r="F63" s="273"/>
      <c r="G63" s="273"/>
      <c r="H63" s="273"/>
      <c r="I63" s="273"/>
      <c r="J63" s="274"/>
      <c r="K63" s="261" t="s">
        <v>105</v>
      </c>
      <c r="L63" s="262"/>
      <c r="M63" s="263"/>
      <c r="N63" s="261" t="s">
        <v>106</v>
      </c>
      <c r="O63" s="262"/>
      <c r="P63" s="263"/>
      <c r="Q63" s="108"/>
      <c r="R63" s="271" t="s">
        <v>102</v>
      </c>
      <c r="S63" s="272"/>
      <c r="T63" s="273"/>
      <c r="U63" s="274"/>
    </row>
    <row r="64" spans="1:21" ht="13.5" thickBot="1" x14ac:dyDescent="0.25">
      <c r="A64" s="275" t="s">
        <v>82</v>
      </c>
      <c r="B64" s="276"/>
      <c r="C64" s="277"/>
      <c r="D64" s="121" t="e">
        <f>Programacion!#REF!/0.4*0.2</f>
        <v>#REF!</v>
      </c>
      <c r="E64" s="112" t="s">
        <v>107</v>
      </c>
      <c r="F64" s="110" t="s">
        <v>108</v>
      </c>
      <c r="G64" s="110" t="s">
        <v>109</v>
      </c>
      <c r="H64" s="110" t="s">
        <v>110</v>
      </c>
      <c r="I64" s="110" t="s">
        <v>111</v>
      </c>
      <c r="J64" s="111" t="s">
        <v>112</v>
      </c>
      <c r="K64" s="109" t="s">
        <v>110</v>
      </c>
      <c r="L64" s="110" t="s">
        <v>113</v>
      </c>
      <c r="M64" s="111" t="s">
        <v>114</v>
      </c>
      <c r="N64" s="109" t="s">
        <v>110</v>
      </c>
      <c r="O64" s="112" t="s">
        <v>113</v>
      </c>
      <c r="P64" s="111" t="s">
        <v>114</v>
      </c>
      <c r="Q64" s="103"/>
      <c r="R64" s="117" t="s">
        <v>108</v>
      </c>
      <c r="S64" s="118" t="s">
        <v>115</v>
      </c>
      <c r="T64" s="118" t="s">
        <v>116</v>
      </c>
      <c r="U64" s="119" t="s">
        <v>117</v>
      </c>
    </row>
    <row r="65" spans="1:21" ht="13.5" thickBot="1" x14ac:dyDescent="0.25">
      <c r="A65" s="309" t="e">
        <f>Programacion!#REF!</f>
        <v>#REF!</v>
      </c>
      <c r="B65" s="309"/>
      <c r="C65" s="310"/>
      <c r="D65" s="120" t="s">
        <v>118</v>
      </c>
      <c r="E65" s="289" t="e">
        <f>D64/2</f>
        <v>#REF!</v>
      </c>
      <c r="F65" s="290"/>
      <c r="G65" s="290"/>
      <c r="H65" s="290"/>
      <c r="I65" s="290"/>
      <c r="J65" s="291"/>
      <c r="K65" s="289" t="e">
        <f>D64*30%</f>
        <v>#REF!</v>
      </c>
      <c r="L65" s="290"/>
      <c r="M65" s="292"/>
      <c r="N65" s="293" t="e">
        <f>D64*20%</f>
        <v>#REF!</v>
      </c>
      <c r="O65" s="294"/>
      <c r="P65" s="295"/>
      <c r="Q65" s="103"/>
      <c r="R65" s="296">
        <v>0</v>
      </c>
      <c r="S65" s="297"/>
      <c r="T65" s="297"/>
      <c r="U65" s="298"/>
    </row>
    <row r="66" spans="1:21" x14ac:dyDescent="0.2">
      <c r="A66" s="328"/>
      <c r="B66" s="328"/>
      <c r="C66" s="313"/>
      <c r="D66" s="113" t="s">
        <v>119</v>
      </c>
      <c r="E66" s="78">
        <v>0.05</v>
      </c>
      <c r="F66" s="79">
        <v>0.3</v>
      </c>
      <c r="G66" s="79">
        <v>0.2</v>
      </c>
      <c r="H66" s="79">
        <v>0.15</v>
      </c>
      <c r="I66" s="79">
        <v>0.1</v>
      </c>
      <c r="J66" s="100">
        <v>0.2</v>
      </c>
      <c r="K66" s="78">
        <v>0.1</v>
      </c>
      <c r="L66" s="79">
        <v>0.7</v>
      </c>
      <c r="M66" s="80">
        <v>0.2</v>
      </c>
      <c r="N66" s="78">
        <v>0.1</v>
      </c>
      <c r="O66" s="81">
        <v>0.7</v>
      </c>
      <c r="P66" s="80">
        <v>0.2</v>
      </c>
      <c r="Q66" s="103"/>
      <c r="R66" s="105">
        <v>0.15</v>
      </c>
      <c r="S66" s="106">
        <v>0.55000000000000004</v>
      </c>
      <c r="T66" s="106">
        <v>0.15</v>
      </c>
      <c r="U66" s="107">
        <v>0.15</v>
      </c>
    </row>
    <row r="67" spans="1:21" x14ac:dyDescent="0.2">
      <c r="A67" s="328"/>
      <c r="B67" s="328"/>
      <c r="C67" s="313"/>
      <c r="D67" s="113" t="s">
        <v>120</v>
      </c>
      <c r="E67" s="88" t="e">
        <f>E65*E66</f>
        <v>#REF!</v>
      </c>
      <c r="F67" s="89" t="e">
        <f>E65*F66</f>
        <v>#REF!</v>
      </c>
      <c r="G67" s="89" t="e">
        <f>E65*G66</f>
        <v>#REF!</v>
      </c>
      <c r="H67" s="89" t="e">
        <f>E65*H66</f>
        <v>#REF!</v>
      </c>
      <c r="I67" s="89" t="e">
        <f>E65*I66</f>
        <v>#REF!</v>
      </c>
      <c r="J67" s="101" t="e">
        <f>E65*J66</f>
        <v>#REF!</v>
      </c>
      <c r="K67" s="88" t="e">
        <f>K66*K65</f>
        <v>#REF!</v>
      </c>
      <c r="L67" s="89" t="e">
        <f>K65*L66</f>
        <v>#REF!</v>
      </c>
      <c r="M67" s="90" t="e">
        <f>K65*M66</f>
        <v>#REF!</v>
      </c>
      <c r="N67" s="82" t="e">
        <f>N65*N66</f>
        <v>#REF!</v>
      </c>
      <c r="O67" s="84" t="e">
        <f>N65*O66</f>
        <v>#REF!</v>
      </c>
      <c r="P67" s="83" t="e">
        <f>N65*P66</f>
        <v>#REF!</v>
      </c>
      <c r="Q67" s="103"/>
      <c r="R67" s="88">
        <f>R65*R66</f>
        <v>0</v>
      </c>
      <c r="S67" s="89">
        <f>R65*S66</f>
        <v>0</v>
      </c>
      <c r="T67" s="89">
        <f>R65*T66</f>
        <v>0</v>
      </c>
      <c r="U67" s="90">
        <f>R65*U66</f>
        <v>0</v>
      </c>
    </row>
    <row r="68" spans="1:21" x14ac:dyDescent="0.2">
      <c r="A68" s="328"/>
      <c r="B68" s="328"/>
      <c r="C68" s="313"/>
      <c r="D68" s="113" t="s">
        <v>5</v>
      </c>
      <c r="E68" s="123">
        <v>1</v>
      </c>
      <c r="F68" s="104">
        <v>1</v>
      </c>
      <c r="G68" s="104">
        <v>1</v>
      </c>
      <c r="H68" s="104">
        <v>1</v>
      </c>
      <c r="I68" s="104">
        <v>1</v>
      </c>
      <c r="J68" s="128">
        <v>1</v>
      </c>
      <c r="K68" s="123">
        <v>1</v>
      </c>
      <c r="L68" s="104">
        <v>1</v>
      </c>
      <c r="M68" s="128">
        <v>1</v>
      </c>
      <c r="N68" s="123">
        <v>1</v>
      </c>
      <c r="O68" s="104">
        <v>1</v>
      </c>
      <c r="P68" s="124">
        <v>1</v>
      </c>
      <c r="Q68" s="103"/>
      <c r="R68" s="123">
        <v>1</v>
      </c>
      <c r="S68" s="104">
        <v>1</v>
      </c>
      <c r="T68" s="104">
        <v>1</v>
      </c>
      <c r="U68" s="124">
        <v>1</v>
      </c>
    </row>
    <row r="69" spans="1:21" ht="13.5" thickBot="1" x14ac:dyDescent="0.25">
      <c r="A69" s="315"/>
      <c r="B69" s="315"/>
      <c r="C69" s="316"/>
      <c r="D69" s="114" t="s">
        <v>121</v>
      </c>
      <c r="E69" s="97" t="e">
        <f t="shared" ref="E69:P69" si="8">(E67*(IF(E68=1,0%,IF(E68=2,25%,IF(E68=3,50%,IF(E68=4,75%,IF(E68=5,100%)))))))+E67</f>
        <v>#REF!</v>
      </c>
      <c r="F69" s="98" t="e">
        <f t="shared" si="8"/>
        <v>#REF!</v>
      </c>
      <c r="G69" s="98" t="e">
        <f t="shared" si="8"/>
        <v>#REF!</v>
      </c>
      <c r="H69" s="98" t="e">
        <f t="shared" si="8"/>
        <v>#REF!</v>
      </c>
      <c r="I69" s="98" t="e">
        <f t="shared" si="8"/>
        <v>#REF!</v>
      </c>
      <c r="J69" s="102" t="e">
        <f t="shared" si="8"/>
        <v>#REF!</v>
      </c>
      <c r="K69" s="97" t="e">
        <f t="shared" si="8"/>
        <v>#REF!</v>
      </c>
      <c r="L69" s="98" t="e">
        <f t="shared" si="8"/>
        <v>#REF!</v>
      </c>
      <c r="M69" s="99" t="e">
        <f t="shared" si="8"/>
        <v>#REF!</v>
      </c>
      <c r="N69" s="86" t="e">
        <f t="shared" si="8"/>
        <v>#REF!</v>
      </c>
      <c r="O69" s="87" t="e">
        <f t="shared" si="8"/>
        <v>#REF!</v>
      </c>
      <c r="P69" s="85" t="e">
        <f t="shared" si="8"/>
        <v>#REF!</v>
      </c>
      <c r="Q69" s="103"/>
      <c r="R69" s="86">
        <f t="shared" ref="R69:U69" si="9">(R67*(IF(R68=1,0%,IF(R68=2,25%,IF(R68=3,50%,IF(R68=4,75%,IF(R68=5,100%)))))))+R67</f>
        <v>0</v>
      </c>
      <c r="S69" s="87">
        <f t="shared" si="9"/>
        <v>0</v>
      </c>
      <c r="T69" s="87">
        <f t="shared" si="9"/>
        <v>0</v>
      </c>
      <c r="U69" s="85">
        <f t="shared" si="9"/>
        <v>0</v>
      </c>
    </row>
    <row r="70" spans="1:21" ht="26.25" thickBot="1" x14ac:dyDescent="0.25">
      <c r="A70" s="308"/>
      <c r="B70" s="309"/>
      <c r="C70" s="310"/>
      <c r="D70" s="115" t="s">
        <v>122</v>
      </c>
      <c r="E70" s="299" t="e">
        <f>SUM(E69:J69)</f>
        <v>#REF!</v>
      </c>
      <c r="F70" s="300"/>
      <c r="G70" s="300"/>
      <c r="H70" s="300"/>
      <c r="I70" s="300"/>
      <c r="J70" s="301"/>
      <c r="K70" s="299" t="e">
        <f>SUM(K69:M69)</f>
        <v>#REF!</v>
      </c>
      <c r="L70" s="300"/>
      <c r="M70" s="301"/>
      <c r="N70" s="302" t="e">
        <f>SUM(N69:P69)</f>
        <v>#REF!</v>
      </c>
      <c r="O70" s="303"/>
      <c r="P70" s="304"/>
      <c r="Q70" s="103"/>
      <c r="R70" s="299">
        <f>SUM(R69:U69)</f>
        <v>0</v>
      </c>
      <c r="S70" s="300"/>
      <c r="T70" s="300"/>
      <c r="U70" s="301"/>
    </row>
    <row r="71" spans="1:21" ht="13.5" thickBot="1" x14ac:dyDescent="0.25">
      <c r="A71" s="311"/>
      <c r="B71" s="312"/>
      <c r="C71" s="313"/>
      <c r="D71" s="91"/>
      <c r="E71" s="92"/>
      <c r="F71" s="92"/>
      <c r="G71" s="92"/>
      <c r="H71" s="92"/>
      <c r="I71" s="92"/>
      <c r="J71" s="92"/>
      <c r="K71" s="92"/>
      <c r="L71" s="92"/>
      <c r="M71" s="92"/>
      <c r="N71" s="92"/>
      <c r="O71" s="92"/>
      <c r="P71" s="92"/>
      <c r="Q71" s="103"/>
      <c r="R71" s="92"/>
      <c r="S71" s="92"/>
      <c r="T71" s="92"/>
      <c r="U71" s="92"/>
    </row>
    <row r="72" spans="1:21" ht="13.5" thickBot="1" x14ac:dyDescent="0.25">
      <c r="A72" s="314"/>
      <c r="B72" s="315"/>
      <c r="C72" s="316"/>
      <c r="D72" s="116" t="s">
        <v>123</v>
      </c>
      <c r="E72" s="326" t="e">
        <f>SUM(E70:P70)+R70</f>
        <v>#REF!</v>
      </c>
      <c r="F72" s="327"/>
      <c r="G72" s="103"/>
      <c r="H72" s="103"/>
      <c r="I72" s="103"/>
      <c r="J72" s="103"/>
      <c r="K72" s="103"/>
      <c r="L72" s="103"/>
      <c r="M72" s="103"/>
      <c r="N72" s="103"/>
      <c r="O72" s="103"/>
      <c r="P72" s="103"/>
      <c r="Q72" s="103"/>
      <c r="R72" s="103"/>
      <c r="S72" s="103"/>
      <c r="T72" s="103"/>
      <c r="U72" s="103"/>
    </row>
    <row r="74" spans="1:21" ht="13.5" thickBot="1" x14ac:dyDescent="0.25"/>
    <row r="75" spans="1:21" ht="26.25" thickBot="1" x14ac:dyDescent="0.25">
      <c r="A75" s="305"/>
      <c r="B75" s="306"/>
      <c r="C75" s="307"/>
      <c r="D75" s="122" t="s">
        <v>103</v>
      </c>
      <c r="E75" s="271" t="s">
        <v>104</v>
      </c>
      <c r="F75" s="273"/>
      <c r="G75" s="273"/>
      <c r="H75" s="273"/>
      <c r="I75" s="273"/>
      <c r="J75" s="274"/>
      <c r="K75" s="261" t="s">
        <v>105</v>
      </c>
      <c r="L75" s="262"/>
      <c r="M75" s="263"/>
      <c r="N75" s="261" t="s">
        <v>106</v>
      </c>
      <c r="O75" s="262"/>
      <c r="P75" s="263"/>
      <c r="Q75" s="108"/>
      <c r="R75" s="271" t="s">
        <v>102</v>
      </c>
      <c r="S75" s="272"/>
      <c r="T75" s="273"/>
      <c r="U75" s="274"/>
    </row>
    <row r="76" spans="1:21" ht="13.5" thickBot="1" x14ac:dyDescent="0.25">
      <c r="A76" s="275" t="s">
        <v>82</v>
      </c>
      <c r="B76" s="276"/>
      <c r="C76" s="277"/>
      <c r="D76" s="121" t="e">
        <f>Programacion!#REF!/0.4*0.2</f>
        <v>#REF!</v>
      </c>
      <c r="E76" s="112" t="s">
        <v>107</v>
      </c>
      <c r="F76" s="110" t="s">
        <v>108</v>
      </c>
      <c r="G76" s="110" t="s">
        <v>109</v>
      </c>
      <c r="H76" s="110" t="s">
        <v>110</v>
      </c>
      <c r="I76" s="110" t="s">
        <v>111</v>
      </c>
      <c r="J76" s="111" t="s">
        <v>112</v>
      </c>
      <c r="K76" s="109" t="s">
        <v>110</v>
      </c>
      <c r="L76" s="110" t="s">
        <v>113</v>
      </c>
      <c r="M76" s="111" t="s">
        <v>114</v>
      </c>
      <c r="N76" s="109" t="s">
        <v>110</v>
      </c>
      <c r="O76" s="112" t="s">
        <v>113</v>
      </c>
      <c r="P76" s="111" t="s">
        <v>114</v>
      </c>
      <c r="Q76" s="103"/>
      <c r="R76" s="117" t="s">
        <v>108</v>
      </c>
      <c r="S76" s="118" t="s">
        <v>115</v>
      </c>
      <c r="T76" s="118" t="s">
        <v>116</v>
      </c>
      <c r="U76" s="119" t="s">
        <v>117</v>
      </c>
    </row>
    <row r="77" spans="1:21" ht="13.5" thickBot="1" x14ac:dyDescent="0.25">
      <c r="A77" s="309" t="e">
        <f>Programacion!#REF!</f>
        <v>#REF!</v>
      </c>
      <c r="B77" s="309"/>
      <c r="C77" s="310"/>
      <c r="D77" s="120" t="s">
        <v>118</v>
      </c>
      <c r="E77" s="289" t="e">
        <f>D76/2</f>
        <v>#REF!</v>
      </c>
      <c r="F77" s="290"/>
      <c r="G77" s="290"/>
      <c r="H77" s="290"/>
      <c r="I77" s="290"/>
      <c r="J77" s="291"/>
      <c r="K77" s="289" t="e">
        <f>D76*30%</f>
        <v>#REF!</v>
      </c>
      <c r="L77" s="290"/>
      <c r="M77" s="292"/>
      <c r="N77" s="293" t="e">
        <f>D76*20%</f>
        <v>#REF!</v>
      </c>
      <c r="O77" s="294"/>
      <c r="P77" s="295"/>
      <c r="Q77" s="103"/>
      <c r="R77" s="296">
        <v>0</v>
      </c>
      <c r="S77" s="297"/>
      <c r="T77" s="297"/>
      <c r="U77" s="298"/>
    </row>
    <row r="78" spans="1:21" x14ac:dyDescent="0.2">
      <c r="A78" s="328"/>
      <c r="B78" s="328"/>
      <c r="C78" s="313"/>
      <c r="D78" s="113" t="s">
        <v>119</v>
      </c>
      <c r="E78" s="78">
        <v>0.05</v>
      </c>
      <c r="F78" s="79">
        <v>0.3</v>
      </c>
      <c r="G78" s="79">
        <v>0.2</v>
      </c>
      <c r="H78" s="79">
        <v>0.15</v>
      </c>
      <c r="I78" s="79">
        <v>0.1</v>
      </c>
      <c r="J78" s="100">
        <v>0.2</v>
      </c>
      <c r="K78" s="78">
        <v>0.1</v>
      </c>
      <c r="L78" s="79">
        <v>0.7</v>
      </c>
      <c r="M78" s="80">
        <v>0.2</v>
      </c>
      <c r="N78" s="78">
        <v>0.1</v>
      </c>
      <c r="O78" s="81">
        <v>0.7</v>
      </c>
      <c r="P78" s="80">
        <v>0.2</v>
      </c>
      <c r="Q78" s="103"/>
      <c r="R78" s="105">
        <v>0.15</v>
      </c>
      <c r="S78" s="106">
        <v>0.55000000000000004</v>
      </c>
      <c r="T78" s="106">
        <v>0.15</v>
      </c>
      <c r="U78" s="107">
        <v>0.15</v>
      </c>
    </row>
    <row r="79" spans="1:21" x14ac:dyDescent="0.2">
      <c r="A79" s="328"/>
      <c r="B79" s="328"/>
      <c r="C79" s="313"/>
      <c r="D79" s="113" t="s">
        <v>120</v>
      </c>
      <c r="E79" s="88" t="e">
        <f>E77*E78</f>
        <v>#REF!</v>
      </c>
      <c r="F79" s="89" t="e">
        <f>E77*F78</f>
        <v>#REF!</v>
      </c>
      <c r="G79" s="89" t="e">
        <f>E77*G78</f>
        <v>#REF!</v>
      </c>
      <c r="H79" s="89" t="e">
        <f>E77*H78</f>
        <v>#REF!</v>
      </c>
      <c r="I79" s="89" t="e">
        <f>E77*I78</f>
        <v>#REF!</v>
      </c>
      <c r="J79" s="101" t="e">
        <f>E77*J78</f>
        <v>#REF!</v>
      </c>
      <c r="K79" s="88" t="e">
        <f>K78*K77</f>
        <v>#REF!</v>
      </c>
      <c r="L79" s="89" t="e">
        <f>K77*L78</f>
        <v>#REF!</v>
      </c>
      <c r="M79" s="90" t="e">
        <f>K77*M78</f>
        <v>#REF!</v>
      </c>
      <c r="N79" s="82" t="e">
        <f>N77*N78</f>
        <v>#REF!</v>
      </c>
      <c r="O79" s="84" t="e">
        <f>N77*O78</f>
        <v>#REF!</v>
      </c>
      <c r="P79" s="83" t="e">
        <f>N77*P78</f>
        <v>#REF!</v>
      </c>
      <c r="Q79" s="103"/>
      <c r="R79" s="88">
        <f>R77*R78</f>
        <v>0</v>
      </c>
      <c r="S79" s="89">
        <f>R77*S78</f>
        <v>0</v>
      </c>
      <c r="T79" s="89">
        <f>R77*T78</f>
        <v>0</v>
      </c>
      <c r="U79" s="90">
        <f>R77*U78</f>
        <v>0</v>
      </c>
    </row>
    <row r="80" spans="1:21" x14ac:dyDescent="0.2">
      <c r="A80" s="328"/>
      <c r="B80" s="328"/>
      <c r="C80" s="313"/>
      <c r="D80" s="113" t="s">
        <v>5</v>
      </c>
      <c r="E80" s="123">
        <v>1</v>
      </c>
      <c r="F80" s="104">
        <v>1</v>
      </c>
      <c r="G80" s="104">
        <v>1</v>
      </c>
      <c r="H80" s="104">
        <v>1</v>
      </c>
      <c r="I80" s="104">
        <v>1</v>
      </c>
      <c r="J80" s="128">
        <v>1</v>
      </c>
      <c r="K80" s="123">
        <v>1</v>
      </c>
      <c r="L80" s="104">
        <v>1</v>
      </c>
      <c r="M80" s="128">
        <v>1</v>
      </c>
      <c r="N80" s="123">
        <v>1</v>
      </c>
      <c r="O80" s="104">
        <v>1</v>
      </c>
      <c r="P80" s="124">
        <v>1</v>
      </c>
      <c r="Q80" s="103"/>
      <c r="R80" s="123">
        <v>1</v>
      </c>
      <c r="S80" s="104">
        <v>1</v>
      </c>
      <c r="T80" s="104">
        <v>1</v>
      </c>
      <c r="U80" s="124">
        <v>1</v>
      </c>
    </row>
    <row r="81" spans="1:21" ht="13.5" thickBot="1" x14ac:dyDescent="0.25">
      <c r="A81" s="315"/>
      <c r="B81" s="315"/>
      <c r="C81" s="316"/>
      <c r="D81" s="114" t="s">
        <v>121</v>
      </c>
      <c r="E81" s="97" t="e">
        <f t="shared" ref="E81:P81" si="10">(E79*(IF(E80=1,0%,IF(E80=2,25%,IF(E80=3,50%,IF(E80=4,75%,IF(E80=5,100%)))))))+E79</f>
        <v>#REF!</v>
      </c>
      <c r="F81" s="98" t="e">
        <f t="shared" si="10"/>
        <v>#REF!</v>
      </c>
      <c r="G81" s="98" t="e">
        <f t="shared" si="10"/>
        <v>#REF!</v>
      </c>
      <c r="H81" s="98" t="e">
        <f t="shared" si="10"/>
        <v>#REF!</v>
      </c>
      <c r="I81" s="98" t="e">
        <f t="shared" si="10"/>
        <v>#REF!</v>
      </c>
      <c r="J81" s="102" t="e">
        <f t="shared" si="10"/>
        <v>#REF!</v>
      </c>
      <c r="K81" s="97" t="e">
        <f t="shared" si="10"/>
        <v>#REF!</v>
      </c>
      <c r="L81" s="98" t="e">
        <f t="shared" si="10"/>
        <v>#REF!</v>
      </c>
      <c r="M81" s="99" t="e">
        <f t="shared" si="10"/>
        <v>#REF!</v>
      </c>
      <c r="N81" s="86" t="e">
        <f t="shared" si="10"/>
        <v>#REF!</v>
      </c>
      <c r="O81" s="87" t="e">
        <f t="shared" si="10"/>
        <v>#REF!</v>
      </c>
      <c r="P81" s="85" t="e">
        <f t="shared" si="10"/>
        <v>#REF!</v>
      </c>
      <c r="Q81" s="103"/>
      <c r="R81" s="86">
        <f t="shared" ref="R81:U81" si="11">(R79*(IF(R80=1,0%,IF(R80=2,25%,IF(R80=3,50%,IF(R80=4,75%,IF(R80=5,100%)))))))+R79</f>
        <v>0</v>
      </c>
      <c r="S81" s="87">
        <f t="shared" si="11"/>
        <v>0</v>
      </c>
      <c r="T81" s="87">
        <f t="shared" si="11"/>
        <v>0</v>
      </c>
      <c r="U81" s="85">
        <f t="shared" si="11"/>
        <v>0</v>
      </c>
    </row>
    <row r="82" spans="1:21" ht="26.25" thickBot="1" x14ac:dyDescent="0.25">
      <c r="A82" s="308"/>
      <c r="B82" s="309"/>
      <c r="C82" s="310"/>
      <c r="D82" s="115" t="s">
        <v>122</v>
      </c>
      <c r="E82" s="299" t="e">
        <f>SUM(E81:J81)</f>
        <v>#REF!</v>
      </c>
      <c r="F82" s="300"/>
      <c r="G82" s="300"/>
      <c r="H82" s="300"/>
      <c r="I82" s="300"/>
      <c r="J82" s="301"/>
      <c r="K82" s="299" t="e">
        <f>SUM(K81:M81)</f>
        <v>#REF!</v>
      </c>
      <c r="L82" s="300"/>
      <c r="M82" s="301"/>
      <c r="N82" s="302" t="e">
        <f>SUM(N81:P81)</f>
        <v>#REF!</v>
      </c>
      <c r="O82" s="303"/>
      <c r="P82" s="304"/>
      <c r="Q82" s="103"/>
      <c r="R82" s="299">
        <f>SUM(R81:U81)</f>
        <v>0</v>
      </c>
      <c r="S82" s="300"/>
      <c r="T82" s="300"/>
      <c r="U82" s="301"/>
    </row>
    <row r="83" spans="1:21" ht="13.5" thickBot="1" x14ac:dyDescent="0.25">
      <c r="A83" s="311"/>
      <c r="B83" s="312"/>
      <c r="C83" s="313"/>
      <c r="D83" s="91"/>
      <c r="E83" s="92"/>
      <c r="F83" s="92"/>
      <c r="G83" s="92"/>
      <c r="H83" s="92"/>
      <c r="I83" s="92"/>
      <c r="J83" s="92"/>
      <c r="K83" s="92"/>
      <c r="L83" s="92"/>
      <c r="M83" s="92"/>
      <c r="N83" s="92"/>
      <c r="O83" s="92"/>
      <c r="P83" s="92"/>
      <c r="Q83" s="103"/>
      <c r="R83" s="92"/>
      <c r="S83" s="92"/>
      <c r="T83" s="92"/>
      <c r="U83" s="92"/>
    </row>
    <row r="84" spans="1:21" ht="13.5" thickBot="1" x14ac:dyDescent="0.25">
      <c r="A84" s="314"/>
      <c r="B84" s="315"/>
      <c r="C84" s="316"/>
      <c r="D84" s="116" t="s">
        <v>123</v>
      </c>
      <c r="E84" s="326" t="e">
        <f>SUM(E82:P82)+R82</f>
        <v>#REF!</v>
      </c>
      <c r="F84" s="327"/>
      <c r="G84" s="103"/>
      <c r="H84" s="103"/>
      <c r="I84" s="103"/>
      <c r="J84" s="103"/>
      <c r="K84" s="103"/>
      <c r="L84" s="103"/>
      <c r="M84" s="103"/>
      <c r="N84" s="103"/>
      <c r="O84" s="103"/>
      <c r="P84" s="103"/>
      <c r="Q84" s="103"/>
      <c r="R84" s="103"/>
      <c r="S84" s="103"/>
      <c r="T84" s="103"/>
      <c r="U84" s="103"/>
    </row>
    <row r="86" spans="1:21" ht="13.5" thickBot="1" x14ac:dyDescent="0.25"/>
    <row r="87" spans="1:21" ht="39" customHeight="1" thickBot="1" x14ac:dyDescent="0.25">
      <c r="A87" s="305"/>
      <c r="B87" s="306"/>
      <c r="C87" s="307"/>
      <c r="D87" s="122" t="s">
        <v>103</v>
      </c>
      <c r="E87" s="271" t="s">
        <v>104</v>
      </c>
      <c r="F87" s="273"/>
      <c r="G87" s="273"/>
      <c r="H87" s="273"/>
      <c r="I87" s="273"/>
      <c r="J87" s="274"/>
      <c r="K87" s="261" t="s">
        <v>105</v>
      </c>
      <c r="L87" s="262"/>
      <c r="M87" s="263"/>
      <c r="N87" s="261" t="s">
        <v>106</v>
      </c>
      <c r="O87" s="262"/>
      <c r="P87" s="263"/>
      <c r="Q87" s="108"/>
      <c r="R87" s="271" t="s">
        <v>102</v>
      </c>
      <c r="S87" s="272"/>
      <c r="T87" s="273"/>
      <c r="U87" s="274"/>
    </row>
    <row r="88" spans="1:21" ht="13.5" thickBot="1" x14ac:dyDescent="0.25">
      <c r="A88" s="275" t="s">
        <v>82</v>
      </c>
      <c r="B88" s="276"/>
      <c r="C88" s="277"/>
      <c r="D88" s="134">
        <f>Programacion!$F$10/0.4*0.2</f>
        <v>0</v>
      </c>
      <c r="E88" s="112" t="s">
        <v>107</v>
      </c>
      <c r="F88" s="110" t="s">
        <v>108</v>
      </c>
      <c r="G88" s="110" t="s">
        <v>109</v>
      </c>
      <c r="H88" s="110" t="s">
        <v>110</v>
      </c>
      <c r="I88" s="110" t="s">
        <v>111</v>
      </c>
      <c r="J88" s="111" t="s">
        <v>112</v>
      </c>
      <c r="K88" s="109" t="s">
        <v>110</v>
      </c>
      <c r="L88" s="110" t="s">
        <v>113</v>
      </c>
      <c r="M88" s="111" t="s">
        <v>114</v>
      </c>
      <c r="N88" s="109" t="s">
        <v>110</v>
      </c>
      <c r="O88" s="112" t="s">
        <v>113</v>
      </c>
      <c r="P88" s="111" t="s">
        <v>114</v>
      </c>
      <c r="Q88" s="103"/>
      <c r="R88" s="117" t="s">
        <v>108</v>
      </c>
      <c r="S88" s="118" t="s">
        <v>115</v>
      </c>
      <c r="T88" s="118" t="s">
        <v>116</v>
      </c>
      <c r="U88" s="119" t="s">
        <v>117</v>
      </c>
    </row>
    <row r="89" spans="1:21" ht="13.5" thickBot="1" x14ac:dyDescent="0.25">
      <c r="A89" s="309">
        <f>Programacion!D10</f>
        <v>0</v>
      </c>
      <c r="B89" s="309"/>
      <c r="C89" s="310"/>
      <c r="D89" s="120" t="s">
        <v>118</v>
      </c>
      <c r="E89" s="289">
        <f>D88/2</f>
        <v>0</v>
      </c>
      <c r="F89" s="290"/>
      <c r="G89" s="290"/>
      <c r="H89" s="290"/>
      <c r="I89" s="290"/>
      <c r="J89" s="291"/>
      <c r="K89" s="289">
        <f>D88*30%</f>
        <v>0</v>
      </c>
      <c r="L89" s="290"/>
      <c r="M89" s="292"/>
      <c r="N89" s="293">
        <f>D88*20%</f>
        <v>0</v>
      </c>
      <c r="O89" s="294"/>
      <c r="P89" s="295"/>
      <c r="Q89" s="103"/>
      <c r="R89" s="296">
        <v>0</v>
      </c>
      <c r="S89" s="297"/>
      <c r="T89" s="297"/>
      <c r="U89" s="298"/>
    </row>
    <row r="90" spans="1:21" x14ac:dyDescent="0.2">
      <c r="A90" s="328"/>
      <c r="B90" s="328"/>
      <c r="C90" s="313"/>
      <c r="D90" s="113" t="s">
        <v>119</v>
      </c>
      <c r="E90" s="78">
        <v>0.05</v>
      </c>
      <c r="F90" s="79">
        <v>0.3</v>
      </c>
      <c r="G90" s="79">
        <v>0.2</v>
      </c>
      <c r="H90" s="79">
        <v>0.15</v>
      </c>
      <c r="I90" s="79">
        <v>0.1</v>
      </c>
      <c r="J90" s="100">
        <v>0.2</v>
      </c>
      <c r="K90" s="78">
        <v>0.1</v>
      </c>
      <c r="L90" s="79">
        <v>0.7</v>
      </c>
      <c r="M90" s="80">
        <v>0.2</v>
      </c>
      <c r="N90" s="78">
        <v>0.1</v>
      </c>
      <c r="O90" s="81">
        <v>0.7</v>
      </c>
      <c r="P90" s="80">
        <v>0.2</v>
      </c>
      <c r="Q90" s="103"/>
      <c r="R90" s="105">
        <v>0.15</v>
      </c>
      <c r="S90" s="106">
        <v>0.55000000000000004</v>
      </c>
      <c r="T90" s="106">
        <v>0.15</v>
      </c>
      <c r="U90" s="107">
        <v>0.15</v>
      </c>
    </row>
    <row r="91" spans="1:21" x14ac:dyDescent="0.2">
      <c r="A91" s="328"/>
      <c r="B91" s="328"/>
      <c r="C91" s="313"/>
      <c r="D91" s="113" t="s">
        <v>120</v>
      </c>
      <c r="E91" s="88">
        <f>E89*E90</f>
        <v>0</v>
      </c>
      <c r="F91" s="89">
        <f>E89*F90</f>
        <v>0</v>
      </c>
      <c r="G91" s="89">
        <f>E89*G90</f>
        <v>0</v>
      </c>
      <c r="H91" s="89">
        <f>E89*H90</f>
        <v>0</v>
      </c>
      <c r="I91" s="89">
        <f>E89*I90</f>
        <v>0</v>
      </c>
      <c r="J91" s="101">
        <f>E89*J90</f>
        <v>0</v>
      </c>
      <c r="K91" s="88">
        <f>K90*K89</f>
        <v>0</v>
      </c>
      <c r="L91" s="89">
        <f>K89*L90</f>
        <v>0</v>
      </c>
      <c r="M91" s="90">
        <f>K89*M90</f>
        <v>0</v>
      </c>
      <c r="N91" s="82">
        <f>N89*N90</f>
        <v>0</v>
      </c>
      <c r="O91" s="84">
        <f>N89*O90</f>
        <v>0</v>
      </c>
      <c r="P91" s="83">
        <f>N89*P90</f>
        <v>0</v>
      </c>
      <c r="Q91" s="103"/>
      <c r="R91" s="88">
        <f>R89*R90</f>
        <v>0</v>
      </c>
      <c r="S91" s="89">
        <f>R89*S90</f>
        <v>0</v>
      </c>
      <c r="T91" s="89">
        <f>R89*T90</f>
        <v>0</v>
      </c>
      <c r="U91" s="90">
        <f>R89*U90</f>
        <v>0</v>
      </c>
    </row>
    <row r="92" spans="1:21" x14ac:dyDescent="0.2">
      <c r="A92" s="328"/>
      <c r="B92" s="328"/>
      <c r="C92" s="313"/>
      <c r="D92" s="113" t="s">
        <v>5</v>
      </c>
      <c r="E92" s="123">
        <v>1</v>
      </c>
      <c r="F92" s="104">
        <v>1</v>
      </c>
      <c r="G92" s="104">
        <v>1</v>
      </c>
      <c r="H92" s="104">
        <v>1</v>
      </c>
      <c r="I92" s="104">
        <v>1</v>
      </c>
      <c r="J92" s="128">
        <v>1</v>
      </c>
      <c r="K92" s="123">
        <v>1</v>
      </c>
      <c r="L92" s="104">
        <v>1</v>
      </c>
      <c r="M92" s="128">
        <v>1</v>
      </c>
      <c r="N92" s="123">
        <v>1</v>
      </c>
      <c r="O92" s="104">
        <v>1</v>
      </c>
      <c r="P92" s="124">
        <v>1</v>
      </c>
      <c r="Q92" s="103"/>
      <c r="R92" s="123">
        <v>1</v>
      </c>
      <c r="S92" s="104">
        <v>1</v>
      </c>
      <c r="T92" s="104">
        <v>1</v>
      </c>
      <c r="U92" s="124">
        <v>1</v>
      </c>
    </row>
    <row r="93" spans="1:21" ht="13.5" thickBot="1" x14ac:dyDescent="0.25">
      <c r="A93" s="315"/>
      <c r="B93" s="315"/>
      <c r="C93" s="316"/>
      <c r="D93" s="114" t="s">
        <v>121</v>
      </c>
      <c r="E93" s="97">
        <f t="shared" ref="E93:P93" si="12">(E91*(IF(E92=1,0%,IF(E92=2,25%,IF(E92=3,50%,IF(E92=4,75%,IF(E92=5,100%)))))))+E91</f>
        <v>0</v>
      </c>
      <c r="F93" s="98">
        <f t="shared" si="12"/>
        <v>0</v>
      </c>
      <c r="G93" s="98">
        <f t="shared" si="12"/>
        <v>0</v>
      </c>
      <c r="H93" s="98">
        <f t="shared" si="12"/>
        <v>0</v>
      </c>
      <c r="I93" s="98">
        <f t="shared" si="12"/>
        <v>0</v>
      </c>
      <c r="J93" s="102">
        <f t="shared" si="12"/>
        <v>0</v>
      </c>
      <c r="K93" s="97">
        <f t="shared" si="12"/>
        <v>0</v>
      </c>
      <c r="L93" s="98">
        <f t="shared" si="12"/>
        <v>0</v>
      </c>
      <c r="M93" s="99">
        <f t="shared" si="12"/>
        <v>0</v>
      </c>
      <c r="N93" s="86">
        <f t="shared" si="12"/>
        <v>0</v>
      </c>
      <c r="O93" s="87">
        <f t="shared" si="12"/>
        <v>0</v>
      </c>
      <c r="P93" s="85">
        <f t="shared" si="12"/>
        <v>0</v>
      </c>
      <c r="Q93" s="103"/>
      <c r="R93" s="86">
        <f t="shared" ref="R93:U93" si="13">(R91*(IF(R92=1,0%,IF(R92=2,25%,IF(R92=3,50%,IF(R92=4,75%,IF(R92=5,100%)))))))+R91</f>
        <v>0</v>
      </c>
      <c r="S93" s="87">
        <f t="shared" si="13"/>
        <v>0</v>
      </c>
      <c r="T93" s="87">
        <f t="shared" si="13"/>
        <v>0</v>
      </c>
      <c r="U93" s="85">
        <f t="shared" si="13"/>
        <v>0</v>
      </c>
    </row>
    <row r="94" spans="1:21" ht="26.25" thickBot="1" x14ac:dyDescent="0.25">
      <c r="A94" s="308"/>
      <c r="B94" s="309"/>
      <c r="C94" s="310"/>
      <c r="D94" s="115" t="s">
        <v>122</v>
      </c>
      <c r="E94" s="299">
        <f>SUM(E93:J93)</f>
        <v>0</v>
      </c>
      <c r="F94" s="300"/>
      <c r="G94" s="300"/>
      <c r="H94" s="300"/>
      <c r="I94" s="300"/>
      <c r="J94" s="301"/>
      <c r="K94" s="299">
        <f>SUM(K93:M93)</f>
        <v>0</v>
      </c>
      <c r="L94" s="300"/>
      <c r="M94" s="301"/>
      <c r="N94" s="302">
        <f>SUM(N93:P93)</f>
        <v>0</v>
      </c>
      <c r="O94" s="303"/>
      <c r="P94" s="304"/>
      <c r="Q94" s="103"/>
      <c r="R94" s="299">
        <f>SUM(R93:U93)</f>
        <v>0</v>
      </c>
      <c r="S94" s="300"/>
      <c r="T94" s="300"/>
      <c r="U94" s="301"/>
    </row>
    <row r="95" spans="1:21" ht="13.5" thickBot="1" x14ac:dyDescent="0.25">
      <c r="A95" s="311"/>
      <c r="B95" s="312"/>
      <c r="C95" s="313"/>
      <c r="D95" s="91"/>
      <c r="E95" s="92"/>
      <c r="F95" s="92"/>
      <c r="G95" s="92"/>
      <c r="H95" s="92"/>
      <c r="I95" s="92"/>
      <c r="J95" s="92"/>
      <c r="K95" s="92"/>
      <c r="L95" s="92"/>
      <c r="M95" s="92"/>
      <c r="N95" s="92"/>
      <c r="O95" s="92"/>
      <c r="P95" s="92"/>
      <c r="Q95" s="103"/>
      <c r="R95" s="92"/>
      <c r="S95" s="92"/>
      <c r="T95" s="92"/>
      <c r="U95" s="92"/>
    </row>
    <row r="96" spans="1:21" ht="13.5" thickBot="1" x14ac:dyDescent="0.25">
      <c r="A96" s="314"/>
      <c r="B96" s="315"/>
      <c r="C96" s="316"/>
      <c r="D96" s="116" t="s">
        <v>123</v>
      </c>
      <c r="E96" s="326">
        <f>SUM(E94:P94)+R94</f>
        <v>0</v>
      </c>
      <c r="F96" s="327"/>
      <c r="G96" s="103"/>
      <c r="H96" s="103"/>
      <c r="I96" s="103"/>
      <c r="J96" s="103"/>
      <c r="K96" s="103"/>
      <c r="L96" s="103"/>
      <c r="M96" s="103"/>
      <c r="N96" s="103"/>
      <c r="O96" s="103"/>
      <c r="P96" s="103"/>
      <c r="Q96" s="103"/>
      <c r="R96" s="103"/>
      <c r="S96" s="103"/>
      <c r="T96" s="103"/>
      <c r="U96" s="103"/>
    </row>
    <row r="98" spans="1:21" ht="13.5" thickBot="1" x14ac:dyDescent="0.25"/>
    <row r="99" spans="1:21" ht="26.25" thickBot="1" x14ac:dyDescent="0.25">
      <c r="A99" s="305"/>
      <c r="B99" s="306"/>
      <c r="C99" s="307"/>
      <c r="D99" s="122" t="s">
        <v>103</v>
      </c>
      <c r="E99" s="271" t="s">
        <v>104</v>
      </c>
      <c r="F99" s="273"/>
      <c r="G99" s="273"/>
      <c r="H99" s="273"/>
      <c r="I99" s="273"/>
      <c r="J99" s="274"/>
      <c r="K99" s="261" t="s">
        <v>105</v>
      </c>
      <c r="L99" s="262"/>
      <c r="M99" s="263"/>
      <c r="N99" s="261" t="s">
        <v>106</v>
      </c>
      <c r="O99" s="262"/>
      <c r="P99" s="263"/>
      <c r="Q99" s="108"/>
      <c r="R99" s="271" t="s">
        <v>102</v>
      </c>
      <c r="S99" s="272"/>
      <c r="T99" s="273"/>
      <c r="U99" s="274"/>
    </row>
    <row r="100" spans="1:21" ht="13.5" thickBot="1" x14ac:dyDescent="0.25">
      <c r="A100" s="275" t="s">
        <v>82</v>
      </c>
      <c r="B100" s="276"/>
      <c r="C100" s="277"/>
      <c r="D100" s="121" t="e">
        <f>Programacion!#REF!/0.4*0.2</f>
        <v>#REF!</v>
      </c>
      <c r="E100" s="112" t="s">
        <v>107</v>
      </c>
      <c r="F100" s="110" t="s">
        <v>108</v>
      </c>
      <c r="G100" s="110" t="s">
        <v>109</v>
      </c>
      <c r="H100" s="110" t="s">
        <v>110</v>
      </c>
      <c r="I100" s="110" t="s">
        <v>111</v>
      </c>
      <c r="J100" s="111" t="s">
        <v>112</v>
      </c>
      <c r="K100" s="109" t="s">
        <v>110</v>
      </c>
      <c r="L100" s="110" t="s">
        <v>113</v>
      </c>
      <c r="M100" s="111" t="s">
        <v>114</v>
      </c>
      <c r="N100" s="109" t="s">
        <v>110</v>
      </c>
      <c r="O100" s="112" t="s">
        <v>113</v>
      </c>
      <c r="P100" s="111" t="s">
        <v>114</v>
      </c>
      <c r="Q100" s="103"/>
      <c r="R100" s="117" t="s">
        <v>108</v>
      </c>
      <c r="S100" s="118" t="s">
        <v>115</v>
      </c>
      <c r="T100" s="118" t="s">
        <v>116</v>
      </c>
      <c r="U100" s="119" t="s">
        <v>117</v>
      </c>
    </row>
    <row r="101" spans="1:21" ht="13.5" thickBot="1" x14ac:dyDescent="0.25">
      <c r="A101" s="309" t="e">
        <f>Programacion!#REF!</f>
        <v>#REF!</v>
      </c>
      <c r="B101" s="309"/>
      <c r="C101" s="310"/>
      <c r="D101" s="120" t="s">
        <v>118</v>
      </c>
      <c r="E101" s="289" t="e">
        <f>D100/2</f>
        <v>#REF!</v>
      </c>
      <c r="F101" s="290"/>
      <c r="G101" s="290"/>
      <c r="H101" s="290"/>
      <c r="I101" s="290"/>
      <c r="J101" s="291"/>
      <c r="K101" s="289" t="e">
        <f>D100*30%</f>
        <v>#REF!</v>
      </c>
      <c r="L101" s="290"/>
      <c r="M101" s="292"/>
      <c r="N101" s="293" t="e">
        <f>D100*20%</f>
        <v>#REF!</v>
      </c>
      <c r="O101" s="294"/>
      <c r="P101" s="295"/>
      <c r="Q101" s="103"/>
      <c r="R101" s="296">
        <v>0</v>
      </c>
      <c r="S101" s="297"/>
      <c r="T101" s="297"/>
      <c r="U101" s="298"/>
    </row>
    <row r="102" spans="1:21" x14ac:dyDescent="0.2">
      <c r="A102" s="328"/>
      <c r="B102" s="328"/>
      <c r="C102" s="313"/>
      <c r="D102" s="113" t="s">
        <v>119</v>
      </c>
      <c r="E102" s="78">
        <v>0.05</v>
      </c>
      <c r="F102" s="79">
        <v>0.3</v>
      </c>
      <c r="G102" s="79">
        <v>0.2</v>
      </c>
      <c r="H102" s="79">
        <v>0.15</v>
      </c>
      <c r="I102" s="79">
        <v>0.1</v>
      </c>
      <c r="J102" s="100">
        <v>0.2</v>
      </c>
      <c r="K102" s="78">
        <v>0.1</v>
      </c>
      <c r="L102" s="79">
        <v>0.7</v>
      </c>
      <c r="M102" s="80">
        <v>0.2</v>
      </c>
      <c r="N102" s="78">
        <v>0.1</v>
      </c>
      <c r="O102" s="81">
        <v>0.7</v>
      </c>
      <c r="P102" s="80">
        <v>0.2</v>
      </c>
      <c r="Q102" s="103"/>
      <c r="R102" s="105">
        <v>0.15</v>
      </c>
      <c r="S102" s="106">
        <v>0.55000000000000004</v>
      </c>
      <c r="T102" s="106">
        <v>0.15</v>
      </c>
      <c r="U102" s="107">
        <v>0.15</v>
      </c>
    </row>
    <row r="103" spans="1:21" x14ac:dyDescent="0.2">
      <c r="A103" s="328"/>
      <c r="B103" s="328"/>
      <c r="C103" s="313"/>
      <c r="D103" s="113" t="s">
        <v>120</v>
      </c>
      <c r="E103" s="88" t="e">
        <f>E101*E102</f>
        <v>#REF!</v>
      </c>
      <c r="F103" s="89" t="e">
        <f>E101*F102</f>
        <v>#REF!</v>
      </c>
      <c r="G103" s="89" t="e">
        <f>E101*G102</f>
        <v>#REF!</v>
      </c>
      <c r="H103" s="89" t="e">
        <f>E101*H102</f>
        <v>#REF!</v>
      </c>
      <c r="I103" s="89" t="e">
        <f>E101*I102</f>
        <v>#REF!</v>
      </c>
      <c r="J103" s="101" t="e">
        <f>E101*J102</f>
        <v>#REF!</v>
      </c>
      <c r="K103" s="88" t="e">
        <f>K102*K101</f>
        <v>#REF!</v>
      </c>
      <c r="L103" s="89" t="e">
        <f>K101*L102</f>
        <v>#REF!</v>
      </c>
      <c r="M103" s="90" t="e">
        <f>K101*M102</f>
        <v>#REF!</v>
      </c>
      <c r="N103" s="82" t="e">
        <f>N101*N102</f>
        <v>#REF!</v>
      </c>
      <c r="O103" s="84" t="e">
        <f>N101*O102</f>
        <v>#REF!</v>
      </c>
      <c r="P103" s="83" t="e">
        <f>N101*P102</f>
        <v>#REF!</v>
      </c>
      <c r="Q103" s="103"/>
      <c r="R103" s="88">
        <f>R101*R102</f>
        <v>0</v>
      </c>
      <c r="S103" s="89">
        <f>R101*S102</f>
        <v>0</v>
      </c>
      <c r="T103" s="89">
        <f>R101*T102</f>
        <v>0</v>
      </c>
      <c r="U103" s="90">
        <f>R101*U102</f>
        <v>0</v>
      </c>
    </row>
    <row r="104" spans="1:21" x14ac:dyDescent="0.2">
      <c r="A104" s="328"/>
      <c r="B104" s="328"/>
      <c r="C104" s="313"/>
      <c r="D104" s="113" t="s">
        <v>5</v>
      </c>
      <c r="E104" s="123">
        <v>1</v>
      </c>
      <c r="F104" s="104">
        <v>1</v>
      </c>
      <c r="G104" s="104">
        <v>1</v>
      </c>
      <c r="H104" s="104">
        <v>1</v>
      </c>
      <c r="I104" s="104">
        <v>1</v>
      </c>
      <c r="J104" s="128">
        <v>1</v>
      </c>
      <c r="K104" s="123">
        <v>1</v>
      </c>
      <c r="L104" s="104">
        <v>1</v>
      </c>
      <c r="M104" s="128">
        <v>1</v>
      </c>
      <c r="N104" s="123">
        <v>1</v>
      </c>
      <c r="O104" s="104">
        <v>1</v>
      </c>
      <c r="P104" s="124">
        <v>1</v>
      </c>
      <c r="Q104" s="103"/>
      <c r="R104" s="123">
        <v>1</v>
      </c>
      <c r="S104" s="104">
        <v>1</v>
      </c>
      <c r="T104" s="104">
        <v>1</v>
      </c>
      <c r="U104" s="124">
        <v>1</v>
      </c>
    </row>
    <row r="105" spans="1:21" ht="13.5" thickBot="1" x14ac:dyDescent="0.25">
      <c r="A105" s="315"/>
      <c r="B105" s="315"/>
      <c r="C105" s="316"/>
      <c r="D105" s="114" t="s">
        <v>121</v>
      </c>
      <c r="E105" s="97" t="e">
        <f t="shared" ref="E105:P105" si="14">(E103*(IF(E104=1,0%,IF(E104=2,25%,IF(E104=3,50%,IF(E104=4,75%,IF(E104=5,100%)))))))+E103</f>
        <v>#REF!</v>
      </c>
      <c r="F105" s="98" t="e">
        <f t="shared" si="14"/>
        <v>#REF!</v>
      </c>
      <c r="G105" s="98" t="e">
        <f t="shared" si="14"/>
        <v>#REF!</v>
      </c>
      <c r="H105" s="98" t="e">
        <f t="shared" si="14"/>
        <v>#REF!</v>
      </c>
      <c r="I105" s="98" t="e">
        <f t="shared" si="14"/>
        <v>#REF!</v>
      </c>
      <c r="J105" s="102" t="e">
        <f t="shared" si="14"/>
        <v>#REF!</v>
      </c>
      <c r="K105" s="97" t="e">
        <f t="shared" si="14"/>
        <v>#REF!</v>
      </c>
      <c r="L105" s="98" t="e">
        <f t="shared" si="14"/>
        <v>#REF!</v>
      </c>
      <c r="M105" s="99" t="e">
        <f t="shared" si="14"/>
        <v>#REF!</v>
      </c>
      <c r="N105" s="86" t="e">
        <f t="shared" si="14"/>
        <v>#REF!</v>
      </c>
      <c r="O105" s="87" t="e">
        <f t="shared" si="14"/>
        <v>#REF!</v>
      </c>
      <c r="P105" s="85" t="e">
        <f t="shared" si="14"/>
        <v>#REF!</v>
      </c>
      <c r="Q105" s="103"/>
      <c r="R105" s="86">
        <f t="shared" ref="R105:U105" si="15">(R103*(IF(R104=1,0%,IF(R104=2,25%,IF(R104=3,50%,IF(R104=4,75%,IF(R104=5,100%)))))))+R103</f>
        <v>0</v>
      </c>
      <c r="S105" s="87">
        <f t="shared" si="15"/>
        <v>0</v>
      </c>
      <c r="T105" s="87">
        <f t="shared" si="15"/>
        <v>0</v>
      </c>
      <c r="U105" s="85">
        <f t="shared" si="15"/>
        <v>0</v>
      </c>
    </row>
    <row r="106" spans="1:21" ht="26.25" thickBot="1" x14ac:dyDescent="0.25">
      <c r="A106" s="308"/>
      <c r="B106" s="309"/>
      <c r="C106" s="310"/>
      <c r="D106" s="115" t="s">
        <v>122</v>
      </c>
      <c r="E106" s="299" t="e">
        <f>SUM(E105:J105)</f>
        <v>#REF!</v>
      </c>
      <c r="F106" s="300"/>
      <c r="G106" s="300"/>
      <c r="H106" s="300"/>
      <c r="I106" s="300"/>
      <c r="J106" s="301"/>
      <c r="K106" s="299" t="e">
        <f>SUM(K105:M105)</f>
        <v>#REF!</v>
      </c>
      <c r="L106" s="300"/>
      <c r="M106" s="301"/>
      <c r="N106" s="302" t="e">
        <f>SUM(N105:P105)</f>
        <v>#REF!</v>
      </c>
      <c r="O106" s="303"/>
      <c r="P106" s="304"/>
      <c r="Q106" s="103"/>
      <c r="R106" s="299">
        <f>SUM(R105:U105)</f>
        <v>0</v>
      </c>
      <c r="S106" s="300"/>
      <c r="T106" s="300"/>
      <c r="U106" s="301"/>
    </row>
    <row r="107" spans="1:21" ht="13.5" thickBot="1" x14ac:dyDescent="0.25">
      <c r="A107" s="311"/>
      <c r="B107" s="312"/>
      <c r="C107" s="313"/>
      <c r="D107" s="91"/>
      <c r="E107" s="92"/>
      <c r="F107" s="92"/>
      <c r="G107" s="92"/>
      <c r="H107" s="92"/>
      <c r="I107" s="92"/>
      <c r="J107" s="92"/>
      <c r="K107" s="92"/>
      <c r="L107" s="92"/>
      <c r="M107" s="92"/>
      <c r="N107" s="92"/>
      <c r="O107" s="92"/>
      <c r="P107" s="92"/>
      <c r="Q107" s="103"/>
      <c r="R107" s="92"/>
      <c r="S107" s="92"/>
      <c r="T107" s="92"/>
      <c r="U107" s="92"/>
    </row>
    <row r="108" spans="1:21" ht="13.5" thickBot="1" x14ac:dyDescent="0.25">
      <c r="A108" s="314"/>
      <c r="B108" s="315"/>
      <c r="C108" s="316"/>
      <c r="D108" s="116" t="s">
        <v>123</v>
      </c>
      <c r="E108" s="326" t="e">
        <f>SUM(E106:P106)+R106</f>
        <v>#REF!</v>
      </c>
      <c r="F108" s="327"/>
      <c r="G108" s="103"/>
      <c r="H108" s="103"/>
      <c r="I108" s="103"/>
      <c r="J108" s="103"/>
      <c r="K108" s="103"/>
      <c r="L108" s="103"/>
      <c r="M108" s="103"/>
      <c r="N108" s="103"/>
      <c r="O108" s="103"/>
      <c r="P108" s="103"/>
      <c r="Q108" s="103"/>
      <c r="R108" s="103"/>
      <c r="S108" s="103"/>
      <c r="T108" s="103"/>
      <c r="U108" s="103"/>
    </row>
    <row r="110" spans="1:21" ht="13.5" thickBot="1" x14ac:dyDescent="0.25"/>
    <row r="111" spans="1:21" ht="39" customHeight="1" thickBot="1" x14ac:dyDescent="0.25">
      <c r="A111" s="305"/>
      <c r="B111" s="306"/>
      <c r="C111" s="307"/>
      <c r="D111" s="122" t="s">
        <v>103</v>
      </c>
      <c r="E111" s="271" t="s">
        <v>104</v>
      </c>
      <c r="F111" s="273"/>
      <c r="G111" s="273"/>
      <c r="H111" s="273"/>
      <c r="I111" s="273"/>
      <c r="J111" s="274"/>
      <c r="K111" s="261" t="s">
        <v>105</v>
      </c>
      <c r="L111" s="262"/>
      <c r="M111" s="263"/>
      <c r="N111" s="261" t="s">
        <v>106</v>
      </c>
      <c r="O111" s="262"/>
      <c r="P111" s="263"/>
      <c r="Q111" s="108"/>
      <c r="R111" s="271" t="s">
        <v>102</v>
      </c>
      <c r="S111" s="272"/>
      <c r="T111" s="273"/>
      <c r="U111" s="274"/>
    </row>
    <row r="112" spans="1:21" ht="13.5" thickBot="1" x14ac:dyDescent="0.25">
      <c r="A112" s="275" t="s">
        <v>82</v>
      </c>
      <c r="B112" s="276"/>
      <c r="C112" s="277"/>
      <c r="D112" s="121">
        <f>Programacion!$F$11/0.4*0.2</f>
        <v>0</v>
      </c>
      <c r="E112" s="112" t="s">
        <v>107</v>
      </c>
      <c r="F112" s="110" t="s">
        <v>108</v>
      </c>
      <c r="G112" s="110" t="s">
        <v>109</v>
      </c>
      <c r="H112" s="110" t="s">
        <v>110</v>
      </c>
      <c r="I112" s="110" t="s">
        <v>111</v>
      </c>
      <c r="J112" s="111" t="s">
        <v>112</v>
      </c>
      <c r="K112" s="109" t="s">
        <v>110</v>
      </c>
      <c r="L112" s="110" t="s">
        <v>113</v>
      </c>
      <c r="M112" s="111" t="s">
        <v>114</v>
      </c>
      <c r="N112" s="109" t="s">
        <v>110</v>
      </c>
      <c r="O112" s="112" t="s">
        <v>113</v>
      </c>
      <c r="P112" s="111" t="s">
        <v>114</v>
      </c>
      <c r="Q112" s="103"/>
      <c r="R112" s="117" t="s">
        <v>108</v>
      </c>
      <c r="S112" s="118" t="s">
        <v>115</v>
      </c>
      <c r="T112" s="118" t="s">
        <v>116</v>
      </c>
      <c r="U112" s="119" t="s">
        <v>117</v>
      </c>
    </row>
    <row r="113" spans="1:21" ht="13.5" thickBot="1" x14ac:dyDescent="0.25">
      <c r="A113" s="309">
        <f>Programacion!D11</f>
        <v>0</v>
      </c>
      <c r="B113" s="309"/>
      <c r="C113" s="310"/>
      <c r="D113" s="120" t="s">
        <v>118</v>
      </c>
      <c r="E113" s="289">
        <f>D112/2</f>
        <v>0</v>
      </c>
      <c r="F113" s="290"/>
      <c r="G113" s="290"/>
      <c r="H113" s="290"/>
      <c r="I113" s="290"/>
      <c r="J113" s="291"/>
      <c r="K113" s="289">
        <f>D112*30%</f>
        <v>0</v>
      </c>
      <c r="L113" s="290"/>
      <c r="M113" s="292"/>
      <c r="N113" s="293">
        <f>D112*20%</f>
        <v>0</v>
      </c>
      <c r="O113" s="294"/>
      <c r="P113" s="295"/>
      <c r="Q113" s="103"/>
      <c r="R113" s="296">
        <v>0</v>
      </c>
      <c r="S113" s="297"/>
      <c r="T113" s="297"/>
      <c r="U113" s="298"/>
    </row>
    <row r="114" spans="1:21" x14ac:dyDescent="0.2">
      <c r="A114" s="328"/>
      <c r="B114" s="328"/>
      <c r="C114" s="313"/>
      <c r="D114" s="113" t="s">
        <v>119</v>
      </c>
      <c r="E114" s="78">
        <v>0.05</v>
      </c>
      <c r="F114" s="79">
        <v>0.3</v>
      </c>
      <c r="G114" s="79">
        <v>0.2</v>
      </c>
      <c r="H114" s="79">
        <v>0.15</v>
      </c>
      <c r="I114" s="79">
        <v>0.1</v>
      </c>
      <c r="J114" s="100">
        <v>0.2</v>
      </c>
      <c r="K114" s="78">
        <v>0.1</v>
      </c>
      <c r="L114" s="79">
        <v>0.7</v>
      </c>
      <c r="M114" s="80">
        <v>0.2</v>
      </c>
      <c r="N114" s="78">
        <v>0.1</v>
      </c>
      <c r="O114" s="81">
        <v>0.7</v>
      </c>
      <c r="P114" s="80">
        <v>0.2</v>
      </c>
      <c r="Q114" s="103"/>
      <c r="R114" s="129">
        <v>0.15</v>
      </c>
      <c r="S114" s="130">
        <v>0.55000000000000004</v>
      </c>
      <c r="T114" s="130">
        <v>0.15</v>
      </c>
      <c r="U114" s="131">
        <v>0.15</v>
      </c>
    </row>
    <row r="115" spans="1:21" x14ac:dyDescent="0.2">
      <c r="A115" s="328"/>
      <c r="B115" s="328"/>
      <c r="C115" s="313"/>
      <c r="D115" s="113" t="s">
        <v>120</v>
      </c>
      <c r="E115" s="88">
        <f>E113*E114</f>
        <v>0</v>
      </c>
      <c r="F115" s="89">
        <f>E113*F114</f>
        <v>0</v>
      </c>
      <c r="G115" s="89">
        <f>E113*G114</f>
        <v>0</v>
      </c>
      <c r="H115" s="89">
        <f>E113*H114</f>
        <v>0</v>
      </c>
      <c r="I115" s="89">
        <f>E113*I114</f>
        <v>0</v>
      </c>
      <c r="J115" s="101">
        <f>E113*J114</f>
        <v>0</v>
      </c>
      <c r="K115" s="88">
        <f>K114*K113</f>
        <v>0</v>
      </c>
      <c r="L115" s="89">
        <f>K113*L114</f>
        <v>0</v>
      </c>
      <c r="M115" s="90">
        <f>K113*M114</f>
        <v>0</v>
      </c>
      <c r="N115" s="82">
        <f>N113*N114</f>
        <v>0</v>
      </c>
      <c r="O115" s="84">
        <f>N113*O114</f>
        <v>0</v>
      </c>
      <c r="P115" s="83">
        <f>N113*P114</f>
        <v>0</v>
      </c>
      <c r="Q115" s="103"/>
      <c r="R115" s="88">
        <f>R113*R114</f>
        <v>0</v>
      </c>
      <c r="S115" s="89">
        <f>R113*S114</f>
        <v>0</v>
      </c>
      <c r="T115" s="89">
        <f>R113*T114</f>
        <v>0</v>
      </c>
      <c r="U115" s="90">
        <f>R113*U114</f>
        <v>0</v>
      </c>
    </row>
    <row r="116" spans="1:21" x14ac:dyDescent="0.2">
      <c r="A116" s="328"/>
      <c r="B116" s="328"/>
      <c r="C116" s="313"/>
      <c r="D116" s="113" t="s">
        <v>5</v>
      </c>
      <c r="E116" s="123">
        <v>1</v>
      </c>
      <c r="F116" s="104">
        <v>1</v>
      </c>
      <c r="G116" s="104">
        <v>1</v>
      </c>
      <c r="H116" s="104">
        <v>1</v>
      </c>
      <c r="I116" s="104">
        <v>1</v>
      </c>
      <c r="J116" s="128">
        <v>1</v>
      </c>
      <c r="K116" s="123">
        <v>1</v>
      </c>
      <c r="L116" s="104">
        <v>1</v>
      </c>
      <c r="M116" s="128">
        <v>1</v>
      </c>
      <c r="N116" s="123">
        <v>1</v>
      </c>
      <c r="O116" s="104">
        <v>1</v>
      </c>
      <c r="P116" s="124">
        <v>1</v>
      </c>
      <c r="Q116" s="103"/>
      <c r="R116" s="123">
        <v>1</v>
      </c>
      <c r="S116" s="104">
        <v>1</v>
      </c>
      <c r="T116" s="104">
        <v>1</v>
      </c>
      <c r="U116" s="124">
        <v>1</v>
      </c>
    </row>
    <row r="117" spans="1:21" ht="13.5" thickBot="1" x14ac:dyDescent="0.25">
      <c r="A117" s="315"/>
      <c r="B117" s="315"/>
      <c r="C117" s="316"/>
      <c r="D117" s="114" t="s">
        <v>121</v>
      </c>
      <c r="E117" s="97">
        <f t="shared" ref="E117:P117" si="16">(E115*(IF(E116=1,0%,IF(E116=2,25%,IF(E116=3,50%,IF(E116=4,75%,IF(E116=5,100%)))))))+E115</f>
        <v>0</v>
      </c>
      <c r="F117" s="98">
        <f t="shared" si="16"/>
        <v>0</v>
      </c>
      <c r="G117" s="98">
        <f t="shared" si="16"/>
        <v>0</v>
      </c>
      <c r="H117" s="98">
        <f t="shared" si="16"/>
        <v>0</v>
      </c>
      <c r="I117" s="98">
        <f t="shared" si="16"/>
        <v>0</v>
      </c>
      <c r="J117" s="102">
        <f t="shared" si="16"/>
        <v>0</v>
      </c>
      <c r="K117" s="97">
        <f t="shared" si="16"/>
        <v>0</v>
      </c>
      <c r="L117" s="98">
        <f t="shared" si="16"/>
        <v>0</v>
      </c>
      <c r="M117" s="99">
        <f t="shared" si="16"/>
        <v>0</v>
      </c>
      <c r="N117" s="86">
        <f t="shared" si="16"/>
        <v>0</v>
      </c>
      <c r="O117" s="87">
        <f t="shared" si="16"/>
        <v>0</v>
      </c>
      <c r="P117" s="85">
        <f t="shared" si="16"/>
        <v>0</v>
      </c>
      <c r="Q117" s="103"/>
      <c r="R117" s="86">
        <f t="shared" ref="R117:U117" si="17">(R115*(IF(R116=1,0%,IF(R116=2,25%,IF(R116=3,50%,IF(R116=4,75%,IF(R116=5,100%)))))))+R115</f>
        <v>0</v>
      </c>
      <c r="S117" s="87">
        <f t="shared" si="17"/>
        <v>0</v>
      </c>
      <c r="T117" s="87">
        <f t="shared" si="17"/>
        <v>0</v>
      </c>
      <c r="U117" s="85">
        <f t="shared" si="17"/>
        <v>0</v>
      </c>
    </row>
    <row r="118" spans="1:21" ht="26.25" thickBot="1" x14ac:dyDescent="0.25">
      <c r="A118" s="308"/>
      <c r="B118" s="309"/>
      <c r="C118" s="310"/>
      <c r="D118" s="115" t="s">
        <v>122</v>
      </c>
      <c r="E118" s="299">
        <f>SUM(E117:J117)</f>
        <v>0</v>
      </c>
      <c r="F118" s="300"/>
      <c r="G118" s="300"/>
      <c r="H118" s="300"/>
      <c r="I118" s="300"/>
      <c r="J118" s="301"/>
      <c r="K118" s="299">
        <f>SUM(K117:M117)</f>
        <v>0</v>
      </c>
      <c r="L118" s="300"/>
      <c r="M118" s="301"/>
      <c r="N118" s="302">
        <f>SUM(N117:P117)</f>
        <v>0</v>
      </c>
      <c r="O118" s="303"/>
      <c r="P118" s="304"/>
      <c r="Q118" s="103"/>
      <c r="R118" s="299">
        <f>SUM(R117:U117)</f>
        <v>0</v>
      </c>
      <c r="S118" s="300"/>
      <c r="T118" s="300"/>
      <c r="U118" s="301"/>
    </row>
    <row r="119" spans="1:21" ht="13.5" thickBot="1" x14ac:dyDescent="0.25">
      <c r="A119" s="311"/>
      <c r="B119" s="312"/>
      <c r="C119" s="313"/>
      <c r="D119" s="91"/>
      <c r="E119" s="92"/>
      <c r="F119" s="92"/>
      <c r="G119" s="92"/>
      <c r="H119" s="92"/>
      <c r="I119" s="92"/>
      <c r="J119" s="92"/>
      <c r="K119" s="92"/>
      <c r="L119" s="92"/>
      <c r="M119" s="92"/>
      <c r="N119" s="92"/>
      <c r="O119" s="92"/>
      <c r="P119" s="92"/>
      <c r="Q119" s="103"/>
      <c r="R119" s="92"/>
      <c r="S119" s="92"/>
      <c r="T119" s="92"/>
      <c r="U119" s="92"/>
    </row>
    <row r="120" spans="1:21" ht="13.5" thickBot="1" x14ac:dyDescent="0.25">
      <c r="A120" s="314"/>
      <c r="B120" s="315"/>
      <c r="C120" s="316"/>
      <c r="D120" s="116" t="s">
        <v>123</v>
      </c>
      <c r="E120" s="326">
        <f>SUM(E118:P118)+R118</f>
        <v>0</v>
      </c>
      <c r="F120" s="327"/>
      <c r="G120" s="103"/>
      <c r="H120" s="103"/>
      <c r="I120" s="103"/>
      <c r="J120" s="103"/>
      <c r="K120" s="103"/>
      <c r="L120" s="103"/>
      <c r="M120" s="103"/>
      <c r="N120" s="103"/>
      <c r="O120" s="103"/>
      <c r="P120" s="103"/>
      <c r="Q120" s="103"/>
      <c r="R120" s="103"/>
      <c r="S120" s="103"/>
      <c r="T120" s="103"/>
      <c r="U120" s="103"/>
    </row>
  </sheetData>
  <dataConsolidate link="1"/>
  <mergeCells count="170">
    <mergeCell ref="K113:M113"/>
    <mergeCell ref="N113:P113"/>
    <mergeCell ref="R113:U113"/>
    <mergeCell ref="E118:J118"/>
    <mergeCell ref="K118:M118"/>
    <mergeCell ref="N118:P118"/>
    <mergeCell ref="R118:U118"/>
    <mergeCell ref="A118:C120"/>
    <mergeCell ref="E106:J106"/>
    <mergeCell ref="K106:M106"/>
    <mergeCell ref="N106:P106"/>
    <mergeCell ref="R106:U106"/>
    <mergeCell ref="E108:F108"/>
    <mergeCell ref="E111:J111"/>
    <mergeCell ref="K111:M111"/>
    <mergeCell ref="N111:P111"/>
    <mergeCell ref="R111:U111"/>
    <mergeCell ref="A106:C108"/>
    <mergeCell ref="A111:C111"/>
    <mergeCell ref="A112:C112"/>
    <mergeCell ref="E120:F120"/>
    <mergeCell ref="A113:C117"/>
    <mergeCell ref="E113:J113"/>
    <mergeCell ref="K99:M99"/>
    <mergeCell ref="N99:P99"/>
    <mergeCell ref="R99:U99"/>
    <mergeCell ref="A101:C105"/>
    <mergeCell ref="E101:J101"/>
    <mergeCell ref="K101:M101"/>
    <mergeCell ref="N101:P101"/>
    <mergeCell ref="R101:U101"/>
    <mergeCell ref="A99:C99"/>
    <mergeCell ref="A100:C100"/>
    <mergeCell ref="E99:J99"/>
    <mergeCell ref="K10:M10"/>
    <mergeCell ref="N10:P10"/>
    <mergeCell ref="R10:U10"/>
    <mergeCell ref="E12:F12"/>
    <mergeCell ref="E3:J3"/>
    <mergeCell ref="K3:M3"/>
    <mergeCell ref="N3:P3"/>
    <mergeCell ref="R3:U3"/>
    <mergeCell ref="A5:C9"/>
    <mergeCell ref="E5:J5"/>
    <mergeCell ref="K5:M5"/>
    <mergeCell ref="N5:P5"/>
    <mergeCell ref="R5:U5"/>
    <mergeCell ref="A10:C12"/>
    <mergeCell ref="A4:C4"/>
    <mergeCell ref="A3:C3"/>
    <mergeCell ref="E10:J10"/>
    <mergeCell ref="K22:M22"/>
    <mergeCell ref="N22:P22"/>
    <mergeCell ref="R22:U22"/>
    <mergeCell ref="E24:F24"/>
    <mergeCell ref="E15:J15"/>
    <mergeCell ref="K15:M15"/>
    <mergeCell ref="N15:P15"/>
    <mergeCell ref="R15:U15"/>
    <mergeCell ref="A17:C21"/>
    <mergeCell ref="E17:J17"/>
    <mergeCell ref="K17:M17"/>
    <mergeCell ref="N17:P17"/>
    <mergeCell ref="R17:U17"/>
    <mergeCell ref="A15:C15"/>
    <mergeCell ref="A16:C16"/>
    <mergeCell ref="A22:C24"/>
    <mergeCell ref="E22:J22"/>
    <mergeCell ref="K34:M34"/>
    <mergeCell ref="N34:P34"/>
    <mergeCell ref="R34:U34"/>
    <mergeCell ref="E36:F36"/>
    <mergeCell ref="E27:J27"/>
    <mergeCell ref="K27:M27"/>
    <mergeCell ref="N27:P27"/>
    <mergeCell ref="R27:U27"/>
    <mergeCell ref="A29:C33"/>
    <mergeCell ref="E29:J29"/>
    <mergeCell ref="K29:M29"/>
    <mergeCell ref="N29:P29"/>
    <mergeCell ref="R29:U29"/>
    <mergeCell ref="A34:C36"/>
    <mergeCell ref="A27:C27"/>
    <mergeCell ref="A28:C28"/>
    <mergeCell ref="E34:J34"/>
    <mergeCell ref="K46:M46"/>
    <mergeCell ref="N46:P46"/>
    <mergeCell ref="R46:U46"/>
    <mergeCell ref="E48:F48"/>
    <mergeCell ref="E39:J39"/>
    <mergeCell ref="K39:M39"/>
    <mergeCell ref="N39:P39"/>
    <mergeCell ref="R39:U39"/>
    <mergeCell ref="A41:C45"/>
    <mergeCell ref="E41:J41"/>
    <mergeCell ref="K41:M41"/>
    <mergeCell ref="N41:P41"/>
    <mergeCell ref="R41:U41"/>
    <mergeCell ref="A46:C48"/>
    <mergeCell ref="A39:C39"/>
    <mergeCell ref="A40:C40"/>
    <mergeCell ref="E46:J46"/>
    <mergeCell ref="K58:M58"/>
    <mergeCell ref="N58:P58"/>
    <mergeCell ref="R58:U58"/>
    <mergeCell ref="E60:F60"/>
    <mergeCell ref="E51:J51"/>
    <mergeCell ref="K51:M51"/>
    <mergeCell ref="N51:P51"/>
    <mergeCell ref="R51:U51"/>
    <mergeCell ref="A53:C57"/>
    <mergeCell ref="E53:J53"/>
    <mergeCell ref="K53:M53"/>
    <mergeCell ref="N53:P53"/>
    <mergeCell ref="R53:U53"/>
    <mergeCell ref="A58:C60"/>
    <mergeCell ref="A51:C51"/>
    <mergeCell ref="A52:C52"/>
    <mergeCell ref="E58:J58"/>
    <mergeCell ref="K70:M70"/>
    <mergeCell ref="N70:P70"/>
    <mergeCell ref="R70:U70"/>
    <mergeCell ref="E72:F72"/>
    <mergeCell ref="E63:J63"/>
    <mergeCell ref="K63:M63"/>
    <mergeCell ref="N63:P63"/>
    <mergeCell ref="R63:U63"/>
    <mergeCell ref="A65:C69"/>
    <mergeCell ref="E65:J65"/>
    <mergeCell ref="K65:M65"/>
    <mergeCell ref="N65:P65"/>
    <mergeCell ref="R65:U65"/>
    <mergeCell ref="A70:C72"/>
    <mergeCell ref="A64:C64"/>
    <mergeCell ref="A63:C63"/>
    <mergeCell ref="E70:J70"/>
    <mergeCell ref="K82:M82"/>
    <mergeCell ref="N82:P82"/>
    <mergeCell ref="R82:U82"/>
    <mergeCell ref="E84:F84"/>
    <mergeCell ref="E75:J75"/>
    <mergeCell ref="K75:M75"/>
    <mergeCell ref="N75:P75"/>
    <mergeCell ref="R75:U75"/>
    <mergeCell ref="A77:C81"/>
    <mergeCell ref="E77:J77"/>
    <mergeCell ref="K77:M77"/>
    <mergeCell ref="N77:P77"/>
    <mergeCell ref="R77:U77"/>
    <mergeCell ref="A82:C84"/>
    <mergeCell ref="A75:C75"/>
    <mergeCell ref="A76:C76"/>
    <mergeCell ref="E82:J82"/>
    <mergeCell ref="K94:M94"/>
    <mergeCell ref="N94:P94"/>
    <mergeCell ref="R94:U94"/>
    <mergeCell ref="E96:F96"/>
    <mergeCell ref="E87:J87"/>
    <mergeCell ref="K87:M87"/>
    <mergeCell ref="N87:P87"/>
    <mergeCell ref="R87:U87"/>
    <mergeCell ref="A89:C93"/>
    <mergeCell ref="E89:J89"/>
    <mergeCell ref="K89:M89"/>
    <mergeCell ref="N89:P89"/>
    <mergeCell ref="R89:U89"/>
    <mergeCell ref="A94:C96"/>
    <mergeCell ref="A87:C87"/>
    <mergeCell ref="A88:C88"/>
    <mergeCell ref="E94:J94"/>
  </mergeCells>
  <dataValidations count="1">
    <dataValidation type="list" allowBlank="1" showInputMessage="1" showErrorMessage="1" sqref="E92:P92 E68:P68 E20:P20 R20:U20 R68:U68 R32:T32 E116:P116 R116:U116 E32:P32 E44:P44 E104:P104 R104:U104 E80:P80 R80:U80 E56:P56 R56:U56 R44:U44 R92:U92 E8:P8 R8:U8">
      <formula1>complejidad</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Referencias!R78:V78</xm:f>
          </x14:formula1>
          <xm:sqref>U32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55"/>
  <sheetViews>
    <sheetView showGridLines="0" workbookViewId="0">
      <pane xSplit="5" ySplit="3" topLeftCell="F4" activePane="bottomRight" state="frozen"/>
      <selection activeCell="D39" sqref="D39"/>
      <selection pane="topRight" activeCell="D39" sqref="D39"/>
      <selection pane="bottomLeft" activeCell="D39" sqref="D39"/>
      <selection pane="bottomRight" activeCell="H21" sqref="H21"/>
    </sheetView>
  </sheetViews>
  <sheetFormatPr baseColWidth="10" defaultColWidth="9.140625" defaultRowHeight="12.75" x14ac:dyDescent="0.2"/>
  <cols>
    <col min="1" max="1" width="20.28515625" style="4" customWidth="1"/>
    <col min="2" max="2" width="3.7109375" style="4" bestFit="1" customWidth="1"/>
    <col min="3" max="3" width="49.85546875" style="4" bestFit="1" customWidth="1"/>
    <col min="4" max="4" width="36.85546875" style="4" bestFit="1" customWidth="1"/>
    <col min="5" max="5" width="38.28515625" style="4" bestFit="1" customWidth="1"/>
    <col min="6" max="6" width="5.7109375" style="4" bestFit="1" customWidth="1"/>
    <col min="7" max="9" width="5.28515625" style="4" customWidth="1"/>
    <col min="10" max="10" width="2.42578125" style="4" customWidth="1"/>
    <col min="11" max="11" width="9.140625" style="28"/>
    <col min="12" max="16384" width="9.140625" style="4"/>
  </cols>
  <sheetData>
    <row r="1" spans="3:11" ht="13.5" thickBot="1" x14ac:dyDescent="0.25">
      <c r="C1" s="2" t="s">
        <v>65</v>
      </c>
    </row>
    <row r="2" spans="3:11" ht="25.5" customHeight="1" x14ac:dyDescent="0.2">
      <c r="C2" s="5"/>
      <c r="D2" s="6"/>
      <c r="E2" s="7"/>
      <c r="F2" s="335" t="s">
        <v>61</v>
      </c>
      <c r="G2" s="336"/>
      <c r="H2" s="336"/>
      <c r="I2" s="337"/>
    </row>
    <row r="3" spans="3:11" s="1" customFormat="1" ht="12" thickBot="1" x14ac:dyDescent="0.25">
      <c r="C3" s="31" t="s">
        <v>41</v>
      </c>
      <c r="D3" s="3" t="s">
        <v>0</v>
      </c>
      <c r="E3" s="3" t="s">
        <v>7</v>
      </c>
      <c r="F3" s="35">
        <v>1</v>
      </c>
      <c r="G3" s="36">
        <v>2</v>
      </c>
      <c r="H3" s="36">
        <v>3</v>
      </c>
      <c r="I3" s="37">
        <v>4</v>
      </c>
      <c r="K3" s="29"/>
    </row>
    <row r="4" spans="3:11" s="17" customFormat="1" x14ac:dyDescent="0.2">
      <c r="C4" s="8" t="s">
        <v>47</v>
      </c>
      <c r="D4" s="9" t="s">
        <v>15</v>
      </c>
      <c r="E4" s="9" t="s">
        <v>13</v>
      </c>
      <c r="F4" s="9">
        <v>7</v>
      </c>
      <c r="G4" s="9">
        <v>18</v>
      </c>
      <c r="H4" s="9">
        <v>32</v>
      </c>
      <c r="I4" s="10">
        <v>45</v>
      </c>
      <c r="J4" s="4"/>
      <c r="K4" s="28" t="s">
        <v>29</v>
      </c>
    </row>
    <row r="5" spans="3:11" s="17" customFormat="1" x14ac:dyDescent="0.2">
      <c r="C5" s="11" t="s">
        <v>49</v>
      </c>
      <c r="D5" s="12" t="s">
        <v>17</v>
      </c>
      <c r="E5" s="12" t="s">
        <v>13</v>
      </c>
      <c r="F5" s="12">
        <v>5</v>
      </c>
      <c r="G5" s="12">
        <v>14</v>
      </c>
      <c r="H5" s="12">
        <v>18</v>
      </c>
      <c r="I5" s="13">
        <v>26</v>
      </c>
      <c r="J5" s="4"/>
      <c r="K5" s="28" t="s">
        <v>31</v>
      </c>
    </row>
    <row r="6" spans="3:11" s="17" customFormat="1" x14ac:dyDescent="0.2">
      <c r="C6" s="11" t="s">
        <v>46</v>
      </c>
      <c r="D6" s="12" t="s">
        <v>14</v>
      </c>
      <c r="E6" s="12" t="s">
        <v>13</v>
      </c>
      <c r="F6" s="12">
        <v>4</v>
      </c>
      <c r="G6" s="12">
        <v>7</v>
      </c>
      <c r="H6" s="12">
        <v>12</v>
      </c>
      <c r="I6" s="13">
        <v>19</v>
      </c>
      <c r="J6" s="4"/>
      <c r="K6" s="28" t="s">
        <v>28</v>
      </c>
    </row>
    <row r="7" spans="3:11" ht="13.5" thickBot="1" x14ac:dyDescent="0.25">
      <c r="C7" s="11" t="s">
        <v>48</v>
      </c>
      <c r="D7" s="12" t="s">
        <v>16</v>
      </c>
      <c r="E7" s="12" t="s">
        <v>13</v>
      </c>
      <c r="F7" s="15">
        <v>5</v>
      </c>
      <c r="G7" s="15">
        <v>12</v>
      </c>
      <c r="H7" s="15">
        <v>28</v>
      </c>
      <c r="I7" s="16">
        <v>37</v>
      </c>
      <c r="K7" s="28" t="s">
        <v>30</v>
      </c>
    </row>
    <row r="8" spans="3:11" ht="13.5" thickBot="1" x14ac:dyDescent="0.25">
      <c r="C8" s="11" t="s">
        <v>48</v>
      </c>
      <c r="D8" s="12" t="s">
        <v>16</v>
      </c>
      <c r="E8" s="12" t="s">
        <v>13</v>
      </c>
      <c r="F8" s="15">
        <v>5</v>
      </c>
      <c r="G8" s="15">
        <v>12</v>
      </c>
      <c r="H8" s="15">
        <v>28</v>
      </c>
      <c r="I8" s="16">
        <v>37</v>
      </c>
      <c r="K8" s="28" t="s">
        <v>30</v>
      </c>
    </row>
    <row r="9" spans="3:11" x14ac:dyDescent="0.2">
      <c r="C9" s="8" t="s">
        <v>51</v>
      </c>
      <c r="D9" s="9" t="s">
        <v>15</v>
      </c>
      <c r="E9" s="9" t="s">
        <v>22</v>
      </c>
      <c r="F9" s="9">
        <v>7</v>
      </c>
      <c r="G9" s="9">
        <v>21</v>
      </c>
      <c r="H9" s="9">
        <v>39</v>
      </c>
      <c r="I9" s="10">
        <v>55</v>
      </c>
      <c r="K9" s="28" t="s">
        <v>29</v>
      </c>
    </row>
    <row r="10" spans="3:11" x14ac:dyDescent="0.2">
      <c r="C10" s="18" t="s">
        <v>137</v>
      </c>
      <c r="D10" s="30" t="s">
        <v>139</v>
      </c>
      <c r="E10" s="12" t="s">
        <v>22</v>
      </c>
      <c r="F10" s="30">
        <v>4</v>
      </c>
      <c r="G10" s="30">
        <v>8</v>
      </c>
      <c r="H10" s="30">
        <v>16</v>
      </c>
      <c r="I10" s="179">
        <v>32</v>
      </c>
    </row>
    <row r="11" spans="3:11" x14ac:dyDescent="0.2">
      <c r="C11" s="18" t="s">
        <v>138</v>
      </c>
      <c r="D11" s="30" t="s">
        <v>140</v>
      </c>
      <c r="E11" s="12" t="s">
        <v>22</v>
      </c>
      <c r="F11" s="30">
        <v>8</v>
      </c>
      <c r="G11" s="30">
        <v>12</v>
      </c>
      <c r="H11" s="30">
        <v>16</v>
      </c>
      <c r="I11" s="179">
        <v>32</v>
      </c>
    </row>
    <row r="12" spans="3:11" x14ac:dyDescent="0.2">
      <c r="C12" s="11" t="s">
        <v>53</v>
      </c>
      <c r="D12" s="12" t="s">
        <v>17</v>
      </c>
      <c r="E12" s="12" t="s">
        <v>22</v>
      </c>
      <c r="F12" s="12">
        <v>5</v>
      </c>
      <c r="G12" s="12">
        <v>18</v>
      </c>
      <c r="H12" s="12">
        <v>37</v>
      </c>
      <c r="I12" s="13">
        <v>52</v>
      </c>
      <c r="K12" s="28" t="s">
        <v>31</v>
      </c>
    </row>
    <row r="13" spans="3:11" x14ac:dyDescent="0.2">
      <c r="C13" s="11" t="s">
        <v>50</v>
      </c>
      <c r="D13" s="12" t="s">
        <v>14</v>
      </c>
      <c r="E13" s="12" t="s">
        <v>22</v>
      </c>
      <c r="F13" s="12">
        <v>5</v>
      </c>
      <c r="G13" s="12">
        <v>9</v>
      </c>
      <c r="H13" s="12">
        <v>18</v>
      </c>
      <c r="I13" s="13">
        <v>28</v>
      </c>
      <c r="K13" s="28" t="s">
        <v>26</v>
      </c>
    </row>
    <row r="14" spans="3:11" ht="13.5" thickBot="1" x14ac:dyDescent="0.25">
      <c r="C14" s="11" t="s">
        <v>52</v>
      </c>
      <c r="D14" s="12" t="s">
        <v>16</v>
      </c>
      <c r="E14" s="12" t="s">
        <v>22</v>
      </c>
      <c r="F14" s="15">
        <v>7</v>
      </c>
      <c r="G14" s="15">
        <v>18</v>
      </c>
      <c r="H14" s="15">
        <v>35</v>
      </c>
      <c r="I14" s="16">
        <v>51</v>
      </c>
      <c r="K14" s="28" t="s">
        <v>30</v>
      </c>
    </row>
    <row r="15" spans="3:11" x14ac:dyDescent="0.2">
      <c r="C15" s="8" t="s">
        <v>58</v>
      </c>
      <c r="D15" s="9" t="s">
        <v>19</v>
      </c>
      <c r="E15" s="9" t="s">
        <v>20</v>
      </c>
      <c r="F15" s="9">
        <v>2</v>
      </c>
      <c r="G15" s="9">
        <v>3</v>
      </c>
      <c r="H15" s="9">
        <v>3</v>
      </c>
      <c r="I15" s="10">
        <v>5</v>
      </c>
      <c r="K15" s="28" t="s">
        <v>24</v>
      </c>
    </row>
    <row r="16" spans="3:11" x14ac:dyDescent="0.2">
      <c r="C16" s="11" t="s">
        <v>57</v>
      </c>
      <c r="D16" s="12" t="s">
        <v>18</v>
      </c>
      <c r="E16" s="12" t="s">
        <v>20</v>
      </c>
      <c r="F16" s="12">
        <v>2</v>
      </c>
      <c r="G16" s="12">
        <v>5</v>
      </c>
      <c r="H16" s="12">
        <v>7</v>
      </c>
      <c r="I16" s="13">
        <v>9</v>
      </c>
    </row>
    <row r="17" spans="3:11" x14ac:dyDescent="0.2">
      <c r="C17" s="11" t="s">
        <v>59</v>
      </c>
      <c r="D17" s="12" t="s">
        <v>34</v>
      </c>
      <c r="E17" s="12" t="s">
        <v>35</v>
      </c>
      <c r="F17" s="12">
        <v>5</v>
      </c>
      <c r="G17" s="12">
        <v>18</v>
      </c>
      <c r="H17" s="12">
        <v>32</v>
      </c>
      <c r="I17" s="13">
        <v>46</v>
      </c>
    </row>
    <row r="18" spans="3:11" x14ac:dyDescent="0.2">
      <c r="C18" s="11" t="s">
        <v>135</v>
      </c>
      <c r="D18" s="12" t="s">
        <v>136</v>
      </c>
      <c r="E18" s="12" t="s">
        <v>35</v>
      </c>
      <c r="F18" s="12">
        <v>6</v>
      </c>
      <c r="G18" s="12">
        <v>12</v>
      </c>
      <c r="H18" s="12">
        <v>24</v>
      </c>
      <c r="I18" s="13">
        <v>32</v>
      </c>
    </row>
    <row r="19" spans="3:11" x14ac:dyDescent="0.2">
      <c r="C19" s="11" t="s">
        <v>141</v>
      </c>
      <c r="D19" s="12" t="s">
        <v>142</v>
      </c>
      <c r="E19" s="12" t="s">
        <v>20</v>
      </c>
      <c r="F19" s="12">
        <v>4</v>
      </c>
      <c r="G19" s="12">
        <v>8</v>
      </c>
      <c r="H19" s="12">
        <v>16</v>
      </c>
      <c r="I19" s="13">
        <v>24</v>
      </c>
    </row>
    <row r="20" spans="3:11" x14ac:dyDescent="0.2">
      <c r="C20" s="11" t="s">
        <v>143</v>
      </c>
      <c r="D20" s="12" t="s">
        <v>144</v>
      </c>
      <c r="E20" s="12" t="s">
        <v>20</v>
      </c>
      <c r="F20" s="12">
        <v>8</v>
      </c>
      <c r="G20" s="12">
        <v>12</v>
      </c>
      <c r="H20" s="12">
        <v>16</v>
      </c>
      <c r="I20" s="13">
        <v>24</v>
      </c>
    </row>
    <row r="21" spans="3:11" x14ac:dyDescent="0.2">
      <c r="C21" s="11" t="s">
        <v>60</v>
      </c>
      <c r="D21" s="12" t="s">
        <v>21</v>
      </c>
      <c r="E21" s="12" t="s">
        <v>20</v>
      </c>
      <c r="F21" s="12">
        <v>2</v>
      </c>
      <c r="G21" s="12">
        <v>3</v>
      </c>
      <c r="H21" s="12">
        <v>3</v>
      </c>
      <c r="I21" s="13">
        <v>5</v>
      </c>
      <c r="J21" s="28"/>
      <c r="K21" s="28" t="s">
        <v>23</v>
      </c>
    </row>
    <row r="22" spans="3:11" x14ac:dyDescent="0.2">
      <c r="C22" s="11" t="s">
        <v>54</v>
      </c>
      <c r="D22" s="12" t="s">
        <v>2</v>
      </c>
      <c r="E22" s="12" t="s">
        <v>1</v>
      </c>
      <c r="F22" s="12">
        <v>7</v>
      </c>
      <c r="G22" s="12">
        <v>14</v>
      </c>
      <c r="H22" s="12">
        <v>28</v>
      </c>
      <c r="I22" s="13">
        <v>55</v>
      </c>
      <c r="K22" s="28" t="s">
        <v>26</v>
      </c>
    </row>
    <row r="23" spans="3:11" x14ac:dyDescent="0.2">
      <c r="C23" s="11" t="s">
        <v>55</v>
      </c>
      <c r="D23" s="12" t="s">
        <v>3</v>
      </c>
      <c r="E23" s="12" t="s">
        <v>1</v>
      </c>
      <c r="F23" s="12">
        <v>5</v>
      </c>
      <c r="G23" s="12">
        <v>9</v>
      </c>
      <c r="H23" s="12">
        <v>18</v>
      </c>
      <c r="I23" s="13">
        <v>37</v>
      </c>
      <c r="K23" s="28" t="s">
        <v>27</v>
      </c>
    </row>
    <row r="24" spans="3:11" ht="13.5" thickBot="1" x14ac:dyDescent="0.25">
      <c r="C24" s="14" t="s">
        <v>56</v>
      </c>
      <c r="D24" s="15" t="s">
        <v>4</v>
      </c>
      <c r="E24" s="15" t="s">
        <v>1</v>
      </c>
      <c r="F24" s="15">
        <v>5</v>
      </c>
      <c r="G24" s="15">
        <v>18</v>
      </c>
      <c r="H24" s="15">
        <v>32</v>
      </c>
      <c r="I24" s="16">
        <v>46</v>
      </c>
      <c r="K24" s="28" t="s">
        <v>25</v>
      </c>
    </row>
    <row r="25" spans="3:11" x14ac:dyDescent="0.2">
      <c r="C25" s="18" t="s">
        <v>43</v>
      </c>
      <c r="D25" s="30" t="s">
        <v>12</v>
      </c>
      <c r="E25" s="30" t="s">
        <v>8</v>
      </c>
      <c r="F25" s="9">
        <v>7</v>
      </c>
      <c r="G25" s="9">
        <v>14</v>
      </c>
      <c r="H25" s="9">
        <v>28</v>
      </c>
      <c r="I25" s="10">
        <v>46</v>
      </c>
      <c r="J25" s="17"/>
      <c r="K25" s="28" t="s">
        <v>33</v>
      </c>
    </row>
    <row r="26" spans="3:11" x14ac:dyDescent="0.2">
      <c r="C26" s="11" t="s">
        <v>45</v>
      </c>
      <c r="D26" s="19" t="s">
        <v>10</v>
      </c>
      <c r="E26" s="12" t="s">
        <v>8</v>
      </c>
      <c r="F26" s="12">
        <v>5</v>
      </c>
      <c r="G26" s="12">
        <v>19</v>
      </c>
      <c r="H26" s="12">
        <v>28</v>
      </c>
      <c r="I26" s="13">
        <v>46</v>
      </c>
      <c r="K26" s="28" t="s">
        <v>31</v>
      </c>
    </row>
    <row r="27" spans="3:11" x14ac:dyDescent="0.2">
      <c r="C27" s="11" t="s">
        <v>42</v>
      </c>
      <c r="D27" s="19" t="s">
        <v>11</v>
      </c>
      <c r="E27" s="12" t="s">
        <v>8</v>
      </c>
      <c r="F27" s="12">
        <v>5</v>
      </c>
      <c r="G27" s="12">
        <v>9</v>
      </c>
      <c r="H27" s="12">
        <v>18</v>
      </c>
      <c r="I27" s="13">
        <v>28</v>
      </c>
      <c r="J27" s="17"/>
      <c r="K27" s="28" t="s">
        <v>32</v>
      </c>
    </row>
    <row r="28" spans="3:11" ht="13.5" thickBot="1" x14ac:dyDescent="0.25">
      <c r="C28" s="14" t="s">
        <v>44</v>
      </c>
      <c r="D28" s="15" t="s">
        <v>9</v>
      </c>
      <c r="E28" s="15" t="s">
        <v>8</v>
      </c>
      <c r="F28" s="15">
        <v>7</v>
      </c>
      <c r="G28" s="15">
        <v>14</v>
      </c>
      <c r="H28" s="15">
        <v>41</v>
      </c>
      <c r="I28" s="16">
        <v>55</v>
      </c>
      <c r="J28" s="17"/>
      <c r="K28" s="28" t="s">
        <v>30</v>
      </c>
    </row>
    <row r="29" spans="3:11" ht="13.5" thickBot="1" x14ac:dyDescent="0.25">
      <c r="C29" s="14" t="s">
        <v>88</v>
      </c>
      <c r="D29" s="15" t="s">
        <v>89</v>
      </c>
      <c r="E29" s="15" t="s">
        <v>89</v>
      </c>
      <c r="F29" s="66">
        <v>4</v>
      </c>
      <c r="G29" s="66">
        <v>8</v>
      </c>
      <c r="H29" s="66">
        <v>20</v>
      </c>
      <c r="I29" s="67">
        <v>40</v>
      </c>
      <c r="J29" s="17"/>
    </row>
    <row r="30" spans="3:11" x14ac:dyDescent="0.2">
      <c r="C30" s="53"/>
      <c r="D30" s="53"/>
      <c r="E30" s="53"/>
      <c r="F30" s="53"/>
      <c r="G30" s="53"/>
      <c r="H30" s="53"/>
      <c r="I30" s="53"/>
      <c r="J30" s="17"/>
    </row>
    <row r="31" spans="3:11" ht="13.5" thickBot="1" x14ac:dyDescent="0.25">
      <c r="C31" s="20" t="s">
        <v>6</v>
      </c>
      <c r="D31" s="21"/>
      <c r="E31" s="21"/>
      <c r="F31" s="21"/>
      <c r="G31" s="21"/>
      <c r="H31" s="21"/>
      <c r="I31" s="21"/>
    </row>
    <row r="32" spans="3:11" ht="13.5" thickTop="1" x14ac:dyDescent="0.2">
      <c r="C32" s="22"/>
      <c r="D32" s="23"/>
      <c r="E32" s="23"/>
      <c r="F32" s="23"/>
      <c r="G32" s="23"/>
      <c r="H32" s="23"/>
      <c r="I32" s="23"/>
    </row>
    <row r="33" spans="1:13" x14ac:dyDescent="0.2">
      <c r="C33" s="32" t="s">
        <v>5</v>
      </c>
      <c r="D33" s="24"/>
      <c r="E33" s="24"/>
      <c r="F33" s="24"/>
      <c r="G33" s="24"/>
      <c r="H33" s="24"/>
      <c r="I33" s="25"/>
    </row>
    <row r="34" spans="1:13" x14ac:dyDescent="0.2">
      <c r="C34" s="33">
        <v>1</v>
      </c>
      <c r="D34" s="338"/>
      <c r="E34" s="338"/>
      <c r="F34" s="338"/>
      <c r="G34" s="338"/>
      <c r="H34" s="338"/>
      <c r="I34" s="339"/>
    </row>
    <row r="35" spans="1:13" x14ac:dyDescent="0.2">
      <c r="C35" s="33">
        <v>2</v>
      </c>
      <c r="D35" s="340"/>
      <c r="E35" s="340"/>
      <c r="F35" s="340"/>
      <c r="G35" s="340"/>
      <c r="H35" s="340"/>
      <c r="I35" s="341"/>
    </row>
    <row r="36" spans="1:13" x14ac:dyDescent="0.2">
      <c r="C36" s="33">
        <v>3</v>
      </c>
      <c r="D36" s="26"/>
      <c r="E36" s="26"/>
      <c r="F36" s="26"/>
      <c r="G36" s="26"/>
      <c r="H36" s="26"/>
      <c r="I36" s="27"/>
    </row>
    <row r="37" spans="1:13" x14ac:dyDescent="0.2">
      <c r="C37" s="34">
        <v>4</v>
      </c>
      <c r="D37" s="342"/>
      <c r="E37" s="342"/>
      <c r="F37" s="342"/>
      <c r="G37" s="342"/>
      <c r="H37" s="342"/>
      <c r="I37" s="343"/>
    </row>
    <row r="40" spans="1:13" ht="13.5" thickBot="1" x14ac:dyDescent="0.25"/>
    <row r="41" spans="1:13" customFormat="1" ht="15.75" thickBot="1" x14ac:dyDescent="0.3">
      <c r="A41" s="344" t="s">
        <v>124</v>
      </c>
      <c r="B41" s="345"/>
      <c r="C41" s="345"/>
      <c r="D41" s="345"/>
      <c r="E41" s="345"/>
      <c r="F41" s="345"/>
      <c r="G41" s="345"/>
      <c r="H41" s="345"/>
      <c r="I41" s="345"/>
      <c r="J41" s="345"/>
      <c r="K41" s="345"/>
      <c r="L41" s="345"/>
      <c r="M41" s="346"/>
    </row>
    <row r="42" spans="1:13" customFormat="1" x14ac:dyDescent="0.2">
      <c r="A42" s="347" t="s">
        <v>125</v>
      </c>
      <c r="B42" s="347"/>
      <c r="C42" s="347"/>
      <c r="D42" s="347"/>
      <c r="E42" s="347"/>
      <c r="F42" s="347"/>
      <c r="G42" s="347"/>
      <c r="H42" s="347"/>
      <c r="I42" s="347"/>
      <c r="J42" s="347"/>
      <c r="K42" s="347"/>
      <c r="L42" s="347"/>
      <c r="M42" s="347"/>
    </row>
    <row r="43" spans="1:13" customFormat="1" x14ac:dyDescent="0.2">
      <c r="A43" s="348"/>
      <c r="B43" s="348"/>
      <c r="C43" s="348"/>
      <c r="D43" s="348"/>
      <c r="E43" s="348"/>
      <c r="F43" s="348"/>
      <c r="G43" s="348"/>
      <c r="H43" s="348"/>
      <c r="I43" s="348"/>
      <c r="J43" s="348"/>
      <c r="K43" s="348"/>
      <c r="L43" s="348"/>
      <c r="M43" s="348"/>
    </row>
    <row r="44" spans="1:13" customFormat="1" ht="54.75" customHeight="1" thickBot="1" x14ac:dyDescent="0.25">
      <c r="A44" s="349"/>
      <c r="B44" s="349"/>
      <c r="C44" s="349"/>
      <c r="D44" s="349"/>
      <c r="E44" s="349"/>
      <c r="F44" s="349"/>
      <c r="G44" s="349"/>
      <c r="H44" s="349"/>
      <c r="I44" s="349"/>
      <c r="J44" s="349"/>
      <c r="K44" s="349"/>
      <c r="L44" s="349"/>
      <c r="M44" s="349"/>
    </row>
    <row r="45" spans="1:13" customFormat="1" ht="15.75" thickBot="1" x14ac:dyDescent="0.3">
      <c r="A45" s="332" t="s">
        <v>6</v>
      </c>
      <c r="B45" s="333"/>
      <c r="C45" s="333"/>
      <c r="D45" s="333"/>
      <c r="E45" s="333"/>
      <c r="F45" s="333"/>
      <c r="G45" s="333"/>
      <c r="H45" s="333"/>
      <c r="I45" s="333"/>
      <c r="J45" s="333"/>
      <c r="K45" s="333"/>
      <c r="L45" s="333"/>
      <c r="M45" s="334"/>
    </row>
    <row r="46" spans="1:13" customFormat="1" x14ac:dyDescent="0.2"/>
    <row r="47" spans="1:13" customFormat="1" x14ac:dyDescent="0.2">
      <c r="A47" s="93" t="s">
        <v>126</v>
      </c>
      <c r="B47" s="93"/>
    </row>
    <row r="48" spans="1:13" customFormat="1" x14ac:dyDescent="0.2">
      <c r="A48" s="94" t="s">
        <v>127</v>
      </c>
      <c r="B48" s="93">
        <v>1</v>
      </c>
    </row>
    <row r="49" spans="1:6" customFormat="1" x14ac:dyDescent="0.2">
      <c r="A49" s="94" t="s">
        <v>128</v>
      </c>
      <c r="B49" s="93">
        <v>5</v>
      </c>
    </row>
    <row r="50" spans="1:6" customFormat="1" x14ac:dyDescent="0.2"/>
    <row r="51" spans="1:6" customFormat="1" x14ac:dyDescent="0.2"/>
    <row r="52" spans="1:6" customFormat="1" x14ac:dyDescent="0.2">
      <c r="A52" t="s">
        <v>129</v>
      </c>
    </row>
    <row r="53" spans="1:6" customFormat="1" ht="25.5" x14ac:dyDescent="0.2">
      <c r="A53" s="94" t="s">
        <v>130</v>
      </c>
      <c r="B53" s="95">
        <v>0</v>
      </c>
      <c r="C53" s="95">
        <v>0.25</v>
      </c>
      <c r="D53" s="95">
        <v>0.5</v>
      </c>
      <c r="E53" s="95">
        <v>0.75</v>
      </c>
      <c r="F53" s="95">
        <v>1</v>
      </c>
    </row>
    <row r="54" spans="1:6" customFormat="1" x14ac:dyDescent="0.2">
      <c r="A54" s="96" t="s">
        <v>5</v>
      </c>
      <c r="B54" s="59">
        <v>1</v>
      </c>
      <c r="C54" s="59">
        <v>2</v>
      </c>
      <c r="D54" s="59">
        <v>3</v>
      </c>
      <c r="E54" s="59">
        <v>4</v>
      </c>
      <c r="F54" s="59">
        <v>5</v>
      </c>
    </row>
    <row r="55" spans="1:6" customFormat="1" ht="16.5" customHeight="1" x14ac:dyDescent="0.2"/>
  </sheetData>
  <mergeCells count="7">
    <mergeCell ref="A45:M45"/>
    <mergeCell ref="F2:I2"/>
    <mergeCell ref="D34:I34"/>
    <mergeCell ref="D35:I35"/>
    <mergeCell ref="D37:I37"/>
    <mergeCell ref="A41:M41"/>
    <mergeCell ref="A42:M44"/>
  </mergeCells>
  <phoneticPr fontId="1" type="noConversion"/>
  <pageMargins left="0.17" right="0.17" top="0.5" bottom="1" header="0.5" footer="0.5"/>
  <pageSetup paperSize="9"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2</vt:i4>
      </vt:variant>
    </vt:vector>
  </HeadingPairs>
  <TitlesOfParts>
    <vt:vector size="7" baseType="lpstr">
      <vt:lpstr>Estimación</vt:lpstr>
      <vt:lpstr>Programacion</vt:lpstr>
      <vt:lpstr>Testing</vt:lpstr>
      <vt:lpstr>Detalle Testing</vt:lpstr>
      <vt:lpstr>Referencias</vt:lpstr>
      <vt:lpstr>codigo</vt:lpstr>
      <vt:lpstr>complejidad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mgil</dc:creator>
  <cp:lastModifiedBy>Nahuel Nomeisky - Emerix</cp:lastModifiedBy>
  <cp:lastPrinted>2009-01-23T20:00:22Z</cp:lastPrinted>
  <dcterms:created xsi:type="dcterms:W3CDTF">1996-10-14T23:33:28Z</dcterms:created>
  <dcterms:modified xsi:type="dcterms:W3CDTF">2018-11-09T16:59:00Z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